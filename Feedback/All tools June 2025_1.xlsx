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ordin\SLU Kretsloppsteknik Dropbox\Annika Nordin\2_Projekten\2022_Planning &amp; Implementing Recycling JTI\Planning &amp; Implementing Resource Recycling JTI\Tools for decision making\"/>
    </mc:Choice>
  </mc:AlternateContent>
  <bookViews>
    <workbookView xWindow="0" yWindow="0" windowWidth="19200" windowHeight="8180" activeTab="2"/>
  </bookViews>
  <sheets>
    <sheet name="(Kretsloppets årsväg)" sheetId="1" r:id="rId1"/>
    <sheet name="1 Gödselvärdesberäknare" sheetId="5" r:id="rId2"/>
    <sheet name="2 Dosering av urea" sheetId="6" r:id="rId3"/>
    <sheet name="3 Tolkning analysdata" sheetId="4" r:id="rId4"/>
  </sheets>
  <externalReferences>
    <externalReference r:id="rId5"/>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8</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2</definedName>
    <definedName name="_AtRisk_SimSetting_ReportOptionSelectiveQR" hidden="1">FALSE</definedName>
    <definedName name="_AtRisk_SimSetting_ReportsList" hidden="1">1</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col_mån">temps[månad]</definedName>
    <definedName name="mån" localSheetId="3">#REF!</definedName>
    <definedName name="mån">temps[månad]</definedName>
    <definedName name="okt_mars">temps[månad]</definedName>
    <definedName name="Omr_dd" localSheetId="1">[1]!Nitrat_begr[Område]</definedName>
    <definedName name="Omr_dd" localSheetId="2">[1]!Nitrat_begr[Område]</definedName>
    <definedName name="Omr_dd" localSheetId="3">[1]!Nitrat_begr[Område]</definedName>
    <definedName name="Omr_dd">Nitrat_begr[Område]</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7</definedName>
    <definedName name="RiskMinimizeOnStart" hidden="1">FALSE</definedName>
    <definedName name="RiskMonitorConvergence" hidden="1">FALSE</definedName>
    <definedName name="RiskMultipleCPUSupportEnabled" hidden="1">TRUE</definedName>
    <definedName name="RiskNumIterations" hidden="1">100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6" l="1"/>
  <c r="E6" i="5"/>
  <c r="E8" i="5"/>
  <c r="E46" i="5"/>
  <c r="E47" i="5"/>
  <c r="E48" i="5"/>
  <c r="E49" i="5"/>
  <c r="E50" i="5"/>
  <c r="E51" i="5"/>
  <c r="E45" i="5"/>
  <c r="F45" i="5" s="1"/>
  <c r="I13" i="5"/>
  <c r="H17" i="5"/>
  <c r="H16" i="5"/>
  <c r="H15" i="5"/>
  <c r="H13" i="5"/>
  <c r="H7" i="5" s="1"/>
  <c r="H8" i="5" s="1"/>
  <c r="H14" i="5"/>
  <c r="I15" i="5" l="1"/>
  <c r="I16" i="5"/>
  <c r="H45" i="5"/>
  <c r="I17" i="5"/>
  <c r="I14" i="5"/>
  <c r="K45" i="5" l="1"/>
  <c r="J45" i="5"/>
  <c r="H15" i="1" l="1"/>
  <c r="I15" i="1"/>
  <c r="J15" i="1"/>
  <c r="K15" i="1"/>
  <c r="L15" i="1"/>
  <c r="Q15" i="1" s="1"/>
  <c r="V15" i="1" s="1"/>
  <c r="AA15" i="1" s="1"/>
  <c r="AF15" i="1" s="1"/>
  <c r="AK15" i="1" s="1"/>
  <c r="AP15" i="1" s="1"/>
  <c r="AU15" i="1" s="1"/>
  <c r="AZ15" i="1" s="1"/>
  <c r="BE15" i="1" s="1"/>
  <c r="BJ15" i="1" s="1"/>
  <c r="BO15" i="1" s="1"/>
  <c r="BT15" i="1" s="1"/>
  <c r="BY15" i="1" s="1"/>
  <c r="CD15" i="1" s="1"/>
  <c r="CI15" i="1" s="1"/>
  <c r="CN15" i="1" s="1"/>
  <c r="CS15" i="1" s="1"/>
  <c r="CX15" i="1" s="1"/>
  <c r="DC15" i="1" s="1"/>
  <c r="DH15" i="1" s="1"/>
  <c r="DM15" i="1" s="1"/>
  <c r="DR15" i="1" s="1"/>
  <c r="DW15" i="1" s="1"/>
  <c r="EB15" i="1" s="1"/>
  <c r="EG15" i="1" s="1"/>
  <c r="EL15" i="1" s="1"/>
  <c r="EQ15" i="1" s="1"/>
  <c r="EV15" i="1" s="1"/>
  <c r="FA15" i="1" s="1"/>
  <c r="FF15" i="1" s="1"/>
  <c r="FK15" i="1" s="1"/>
  <c r="FP15" i="1" s="1"/>
  <c r="FU15" i="1" s="1"/>
  <c r="FZ15" i="1" s="1"/>
  <c r="GE15" i="1" s="1"/>
  <c r="GJ15" i="1" s="1"/>
  <c r="GO15" i="1" s="1"/>
  <c r="GT15" i="1" s="1"/>
  <c r="GY15" i="1" s="1"/>
  <c r="HD15" i="1" s="1"/>
  <c r="HI15" i="1" s="1"/>
  <c r="HN15" i="1" s="1"/>
  <c r="HS15" i="1" s="1"/>
  <c r="HX15" i="1" s="1"/>
  <c r="IC15" i="1" s="1"/>
  <c r="IH15" i="1" s="1"/>
  <c r="IM15" i="1" s="1"/>
  <c r="IR15" i="1" s="1"/>
  <c r="IW15" i="1" s="1"/>
  <c r="JB15" i="1" s="1"/>
  <c r="JG15" i="1" s="1"/>
  <c r="JL15" i="1" s="1"/>
  <c r="JQ15" i="1" s="1"/>
  <c r="JV15" i="1" s="1"/>
  <c r="KA15" i="1" s="1"/>
  <c r="KF15" i="1" s="1"/>
  <c r="KK15" i="1" s="1"/>
  <c r="KP15" i="1" s="1"/>
  <c r="KU15" i="1" s="1"/>
  <c r="KZ15" i="1" s="1"/>
  <c r="LE15" i="1" s="1"/>
  <c r="LJ15" i="1" s="1"/>
  <c r="LO15" i="1" s="1"/>
  <c r="LT15" i="1" s="1"/>
  <c r="LY15" i="1" s="1"/>
  <c r="MD15" i="1" s="1"/>
  <c r="MI15" i="1" s="1"/>
  <c r="MN15" i="1" s="1"/>
  <c r="MS15" i="1" s="1"/>
  <c r="MX15" i="1" s="1"/>
  <c r="NC15" i="1" s="1"/>
  <c r="NH15" i="1" s="1"/>
  <c r="M15" i="1"/>
  <c r="R15" i="1" s="1"/>
  <c r="W15" i="1" s="1"/>
  <c r="AB15" i="1" s="1"/>
  <c r="AG15" i="1" s="1"/>
  <c r="AL15" i="1" s="1"/>
  <c r="AQ15" i="1" s="1"/>
  <c r="AV15" i="1" s="1"/>
  <c r="BA15" i="1" s="1"/>
  <c r="BF15" i="1" s="1"/>
  <c r="BK15" i="1" s="1"/>
  <c r="BP15" i="1" s="1"/>
  <c r="BU15" i="1" s="1"/>
  <c r="BZ15" i="1" s="1"/>
  <c r="CE15" i="1" s="1"/>
  <c r="CJ15" i="1" s="1"/>
  <c r="CO15" i="1" s="1"/>
  <c r="CT15" i="1" s="1"/>
  <c r="CY15" i="1" s="1"/>
  <c r="DD15" i="1" s="1"/>
  <c r="DI15" i="1" s="1"/>
  <c r="DN15" i="1" s="1"/>
  <c r="DS15" i="1" s="1"/>
  <c r="DX15" i="1" s="1"/>
  <c r="EC15" i="1" s="1"/>
  <c r="EH15" i="1" s="1"/>
  <c r="EM15" i="1" s="1"/>
  <c r="ER15" i="1" s="1"/>
  <c r="EW15" i="1" s="1"/>
  <c r="FB15" i="1" s="1"/>
  <c r="FG15" i="1" s="1"/>
  <c r="FL15" i="1" s="1"/>
  <c r="FQ15" i="1" s="1"/>
  <c r="FV15" i="1" s="1"/>
  <c r="GA15" i="1" s="1"/>
  <c r="GF15" i="1" s="1"/>
  <c r="GK15" i="1" s="1"/>
  <c r="GP15" i="1" s="1"/>
  <c r="GU15" i="1" s="1"/>
  <c r="GZ15" i="1" s="1"/>
  <c r="HE15" i="1" s="1"/>
  <c r="HJ15" i="1" s="1"/>
  <c r="HO15" i="1" s="1"/>
  <c r="HT15" i="1" s="1"/>
  <c r="HY15" i="1" s="1"/>
  <c r="ID15" i="1" s="1"/>
  <c r="II15" i="1" s="1"/>
  <c r="IN15" i="1" s="1"/>
  <c r="IS15" i="1" s="1"/>
  <c r="IX15" i="1" s="1"/>
  <c r="JC15" i="1" s="1"/>
  <c r="JH15" i="1" s="1"/>
  <c r="JM15" i="1" s="1"/>
  <c r="JR15" i="1" s="1"/>
  <c r="JW15" i="1" s="1"/>
  <c r="KB15" i="1" s="1"/>
  <c r="KG15" i="1" s="1"/>
  <c r="KL15" i="1" s="1"/>
  <c r="KQ15" i="1" s="1"/>
  <c r="KV15" i="1" s="1"/>
  <c r="LA15" i="1" s="1"/>
  <c r="LF15" i="1" s="1"/>
  <c r="LK15" i="1" s="1"/>
  <c r="LP15" i="1" s="1"/>
  <c r="LU15" i="1" s="1"/>
  <c r="LZ15" i="1" s="1"/>
  <c r="ME15" i="1" s="1"/>
  <c r="MJ15" i="1" s="1"/>
  <c r="MO15" i="1" s="1"/>
  <c r="MT15" i="1" s="1"/>
  <c r="MY15" i="1" s="1"/>
  <c r="ND15" i="1" s="1"/>
  <c r="N15" i="1"/>
  <c r="S15" i="1" s="1"/>
  <c r="X15" i="1" s="1"/>
  <c r="AC15" i="1" s="1"/>
  <c r="AH15" i="1" s="1"/>
  <c r="AM15" i="1" s="1"/>
  <c r="AR15" i="1" s="1"/>
  <c r="AW15" i="1" s="1"/>
  <c r="BB15" i="1" s="1"/>
  <c r="O15" i="1"/>
  <c r="T15" i="1" s="1"/>
  <c r="Y15" i="1" s="1"/>
  <c r="AD15" i="1" s="1"/>
  <c r="AI15" i="1" s="1"/>
  <c r="AN15" i="1" s="1"/>
  <c r="AS15" i="1" s="1"/>
  <c r="AX15" i="1" s="1"/>
  <c r="BC15" i="1" s="1"/>
  <c r="P15" i="1"/>
  <c r="U15" i="1" s="1"/>
  <c r="Z15" i="1" s="1"/>
  <c r="AE15" i="1" s="1"/>
  <c r="AJ15" i="1" s="1"/>
  <c r="AO15" i="1" s="1"/>
  <c r="AT15" i="1" s="1"/>
  <c r="AY15" i="1" s="1"/>
  <c r="BD15" i="1" s="1"/>
  <c r="BI15" i="1" s="1"/>
  <c r="BN15" i="1" s="1"/>
  <c r="BS15" i="1" s="1"/>
  <c r="BX15" i="1" s="1"/>
  <c r="CC15" i="1" s="1"/>
  <c r="CH15" i="1" s="1"/>
  <c r="CM15" i="1" s="1"/>
  <c r="CR15" i="1" s="1"/>
  <c r="CW15" i="1" s="1"/>
  <c r="DB15" i="1" s="1"/>
  <c r="DG15" i="1" s="1"/>
  <c r="DL15" i="1" s="1"/>
  <c r="DQ15" i="1" s="1"/>
  <c r="DV15" i="1" s="1"/>
  <c r="EA15" i="1" s="1"/>
  <c r="EF15" i="1" s="1"/>
  <c r="EK15" i="1" s="1"/>
  <c r="EP15" i="1" s="1"/>
  <c r="EU15" i="1" s="1"/>
  <c r="EZ15" i="1" s="1"/>
  <c r="FE15" i="1" s="1"/>
  <c r="FJ15" i="1" s="1"/>
  <c r="FO15" i="1" s="1"/>
  <c r="FT15" i="1" s="1"/>
  <c r="FY15" i="1" s="1"/>
  <c r="GD15" i="1" s="1"/>
  <c r="GI15" i="1" s="1"/>
  <c r="GN15" i="1" s="1"/>
  <c r="GS15" i="1" s="1"/>
  <c r="GX15" i="1" s="1"/>
  <c r="HC15" i="1" s="1"/>
  <c r="HH15" i="1" s="1"/>
  <c r="HM15" i="1" s="1"/>
  <c r="HR15" i="1" s="1"/>
  <c r="HW15" i="1" s="1"/>
  <c r="IB15" i="1" s="1"/>
  <c r="IG15" i="1" s="1"/>
  <c r="IL15" i="1" s="1"/>
  <c r="IQ15" i="1" s="1"/>
  <c r="IV15" i="1" s="1"/>
  <c r="JA15" i="1" s="1"/>
  <c r="JF15" i="1" s="1"/>
  <c r="JK15" i="1" s="1"/>
  <c r="JP15" i="1" s="1"/>
  <c r="JU15" i="1" s="1"/>
  <c r="JZ15" i="1" s="1"/>
  <c r="KE15" i="1" s="1"/>
  <c r="KJ15" i="1" s="1"/>
  <c r="KO15" i="1" s="1"/>
  <c r="KT15" i="1" s="1"/>
  <c r="KY15" i="1" s="1"/>
  <c r="LD15" i="1" s="1"/>
  <c r="LI15" i="1" s="1"/>
  <c r="LN15" i="1" s="1"/>
  <c r="LS15" i="1" s="1"/>
  <c r="LX15" i="1" s="1"/>
  <c r="MC15" i="1" s="1"/>
  <c r="MH15" i="1" s="1"/>
  <c r="MM15" i="1" s="1"/>
  <c r="MR15" i="1" s="1"/>
  <c r="MW15" i="1" s="1"/>
  <c r="NB15" i="1" s="1"/>
  <c r="NG15" i="1" s="1"/>
  <c r="BG15" i="1"/>
  <c r="BL15" i="1" s="1"/>
  <c r="BQ15" i="1" s="1"/>
  <c r="BV15" i="1" s="1"/>
  <c r="CA15" i="1" s="1"/>
  <c r="CF15" i="1" s="1"/>
  <c r="CK15" i="1" s="1"/>
  <c r="CP15" i="1" s="1"/>
  <c r="CU15" i="1" s="1"/>
  <c r="CZ15" i="1" s="1"/>
  <c r="DE15" i="1" s="1"/>
  <c r="DJ15" i="1" s="1"/>
  <c r="DO15" i="1" s="1"/>
  <c r="DT15" i="1" s="1"/>
  <c r="DY15" i="1" s="1"/>
  <c r="ED15" i="1" s="1"/>
  <c r="EI15" i="1" s="1"/>
  <c r="EN15" i="1" s="1"/>
  <c r="ES15" i="1" s="1"/>
  <c r="EX15" i="1" s="1"/>
  <c r="FC15" i="1" s="1"/>
  <c r="FH15" i="1" s="1"/>
  <c r="FM15" i="1" s="1"/>
  <c r="FR15" i="1" s="1"/>
  <c r="FW15" i="1" s="1"/>
  <c r="GB15" i="1" s="1"/>
  <c r="GG15" i="1" s="1"/>
  <c r="GL15" i="1" s="1"/>
  <c r="GQ15" i="1" s="1"/>
  <c r="GV15" i="1" s="1"/>
  <c r="HA15" i="1" s="1"/>
  <c r="HF15" i="1" s="1"/>
  <c r="HK15" i="1" s="1"/>
  <c r="HP15" i="1" s="1"/>
  <c r="HU15" i="1" s="1"/>
  <c r="HZ15" i="1" s="1"/>
  <c r="IE15" i="1" s="1"/>
  <c r="IJ15" i="1" s="1"/>
  <c r="IO15" i="1" s="1"/>
  <c r="IT15" i="1" s="1"/>
  <c r="IY15" i="1" s="1"/>
  <c r="JD15" i="1" s="1"/>
  <c r="JI15" i="1" s="1"/>
  <c r="JN15" i="1" s="1"/>
  <c r="JS15" i="1" s="1"/>
  <c r="JX15" i="1" s="1"/>
  <c r="KC15" i="1" s="1"/>
  <c r="KH15" i="1" s="1"/>
  <c r="KM15" i="1" s="1"/>
  <c r="KR15" i="1" s="1"/>
  <c r="KW15" i="1" s="1"/>
  <c r="LB15" i="1" s="1"/>
  <c r="LG15" i="1" s="1"/>
  <c r="LL15" i="1" s="1"/>
  <c r="LQ15" i="1" s="1"/>
  <c r="LV15" i="1" s="1"/>
  <c r="MA15" i="1" s="1"/>
  <c r="MF15" i="1" s="1"/>
  <c r="MK15" i="1" s="1"/>
  <c r="MP15" i="1" s="1"/>
  <c r="MU15" i="1" s="1"/>
  <c r="MZ15" i="1" s="1"/>
  <c r="NE15" i="1" s="1"/>
  <c r="BH15" i="1"/>
  <c r="BM15" i="1" s="1"/>
  <c r="BR15" i="1" s="1"/>
  <c r="BW15" i="1" s="1"/>
  <c r="CB15" i="1" s="1"/>
  <c r="CG15" i="1" s="1"/>
  <c r="CL15" i="1" s="1"/>
  <c r="CQ15" i="1" s="1"/>
  <c r="CV15" i="1" s="1"/>
  <c r="DA15" i="1" s="1"/>
  <c r="DF15" i="1" s="1"/>
  <c r="DK15" i="1" s="1"/>
  <c r="DP15" i="1" s="1"/>
  <c r="DU15" i="1" s="1"/>
  <c r="DZ15" i="1" s="1"/>
  <c r="EE15" i="1" s="1"/>
  <c r="EJ15" i="1" s="1"/>
  <c r="EO15" i="1" s="1"/>
  <c r="ET15" i="1" s="1"/>
  <c r="EY15" i="1" s="1"/>
  <c r="FD15" i="1" s="1"/>
  <c r="FI15" i="1" s="1"/>
  <c r="FN15" i="1" s="1"/>
  <c r="FS15" i="1" s="1"/>
  <c r="FX15" i="1" s="1"/>
  <c r="GC15" i="1" s="1"/>
  <c r="GH15" i="1" s="1"/>
  <c r="GM15" i="1" s="1"/>
  <c r="GR15" i="1" s="1"/>
  <c r="GW15" i="1" s="1"/>
  <c r="HB15" i="1" s="1"/>
  <c r="HG15" i="1" s="1"/>
  <c r="HL15" i="1" s="1"/>
  <c r="HQ15" i="1" s="1"/>
  <c r="HV15" i="1" s="1"/>
  <c r="IA15" i="1" s="1"/>
  <c r="IF15" i="1" s="1"/>
  <c r="IK15" i="1" s="1"/>
  <c r="IP15" i="1" s="1"/>
  <c r="IU15" i="1" s="1"/>
  <c r="IZ15" i="1" s="1"/>
  <c r="JE15" i="1" s="1"/>
  <c r="JJ15" i="1" s="1"/>
  <c r="JO15" i="1" s="1"/>
  <c r="JT15" i="1" s="1"/>
  <c r="JY15" i="1" s="1"/>
  <c r="KD15" i="1" s="1"/>
  <c r="KI15" i="1" s="1"/>
  <c r="KN15" i="1" s="1"/>
  <c r="KS15" i="1" s="1"/>
  <c r="KX15" i="1" s="1"/>
  <c r="LC15" i="1" s="1"/>
  <c r="LH15" i="1" s="1"/>
  <c r="LM15" i="1" s="1"/>
  <c r="LR15" i="1" s="1"/>
  <c r="LW15" i="1" s="1"/>
  <c r="MB15" i="1" s="1"/>
  <c r="MG15" i="1" s="1"/>
  <c r="ML15" i="1" s="1"/>
  <c r="MQ15" i="1" s="1"/>
  <c r="MV15" i="1" s="1"/>
  <c r="NA15" i="1" s="1"/>
  <c r="NF15" i="1" s="1"/>
  <c r="LA11" i="1"/>
  <c r="LB11" i="1"/>
  <c r="LC11" i="1"/>
  <c r="LD11" i="1"/>
  <c r="LE11" i="1"/>
  <c r="LF11" i="1"/>
  <c r="LG11" i="1"/>
  <c r="LH11" i="1"/>
  <c r="LI11" i="1"/>
  <c r="LJ11" i="1"/>
  <c r="LK11" i="1"/>
  <c r="LL11" i="1"/>
  <c r="LM11" i="1"/>
  <c r="LN11" i="1"/>
  <c r="LO11" i="1"/>
  <c r="LP11" i="1"/>
  <c r="LQ11" i="1"/>
  <c r="LR11" i="1"/>
  <c r="LS11" i="1"/>
  <c r="LT11" i="1"/>
  <c r="LU11" i="1"/>
  <c r="LV11" i="1"/>
  <c r="LW11" i="1"/>
  <c r="LX11" i="1"/>
  <c r="LY11" i="1"/>
  <c r="LZ11" i="1"/>
  <c r="MA11" i="1"/>
  <c r="MB11" i="1"/>
  <c r="MC11" i="1"/>
  <c r="MD11" i="1"/>
  <c r="ME11" i="1"/>
  <c r="MF11" i="1"/>
  <c r="MG11" i="1"/>
  <c r="MH11" i="1"/>
  <c r="MI11" i="1"/>
  <c r="MJ11" i="1"/>
  <c r="MK11" i="1"/>
  <c r="ML11" i="1"/>
  <c r="MM11" i="1"/>
  <c r="MN11" i="1"/>
  <c r="MO11" i="1"/>
  <c r="MP11" i="1"/>
  <c r="MQ11" i="1"/>
  <c r="MR11" i="1"/>
  <c r="MS11" i="1"/>
  <c r="MT11" i="1"/>
  <c r="MU11" i="1"/>
  <c r="MV11" i="1"/>
  <c r="MW11" i="1"/>
  <c r="MX11" i="1"/>
  <c r="MY11" i="1"/>
  <c r="MZ11" i="1"/>
  <c r="NA11" i="1"/>
  <c r="NB11" i="1"/>
  <c r="NC11" i="1"/>
  <c r="ND11" i="1"/>
  <c r="NE11" i="1"/>
  <c r="NF11" i="1"/>
  <c r="NG11" i="1"/>
  <c r="NH11" i="1"/>
  <c r="KZ11" i="1"/>
  <c r="DS11" i="1"/>
  <c r="DT11" i="1"/>
  <c r="DU11" i="1"/>
  <c r="DV11" i="1"/>
  <c r="DW11" i="1"/>
  <c r="DX11" i="1"/>
  <c r="DY11" i="1"/>
  <c r="DZ11" i="1"/>
  <c r="EA11" i="1"/>
  <c r="EB11" i="1"/>
  <c r="EC11" i="1"/>
  <c r="ED11" i="1"/>
  <c r="EE11" i="1"/>
  <c r="EF11" i="1"/>
  <c r="EG11" i="1"/>
  <c r="EH11" i="1"/>
  <c r="EI11" i="1"/>
  <c r="EJ11" i="1"/>
  <c r="EK11" i="1"/>
  <c r="EL11" i="1"/>
  <c r="EM11" i="1"/>
  <c r="EN11" i="1"/>
  <c r="EO11" i="1"/>
  <c r="EP11" i="1"/>
  <c r="EQ11" i="1"/>
  <c r="ER11" i="1"/>
  <c r="ES11" i="1"/>
  <c r="ET11" i="1"/>
  <c r="EU11" i="1"/>
  <c r="EV11" i="1"/>
  <c r="EW11" i="1"/>
  <c r="EX11" i="1"/>
  <c r="EY11" i="1"/>
  <c r="EZ11" i="1"/>
  <c r="FA11" i="1"/>
  <c r="FB11" i="1"/>
  <c r="FC11" i="1"/>
  <c r="FD11" i="1"/>
  <c r="FE11" i="1"/>
  <c r="FF11" i="1"/>
  <c r="FG11" i="1"/>
  <c r="FH11" i="1"/>
  <c r="FI11" i="1"/>
  <c r="FJ11" i="1"/>
  <c r="FK11" i="1"/>
  <c r="FL11" i="1"/>
  <c r="FM11" i="1"/>
  <c r="FN11" i="1"/>
  <c r="FO11" i="1"/>
  <c r="FP11" i="1"/>
  <c r="FQ11" i="1"/>
  <c r="FR11" i="1"/>
  <c r="FS11" i="1"/>
  <c r="FT11" i="1"/>
  <c r="FU11" i="1"/>
  <c r="FV11" i="1"/>
  <c r="FW11" i="1"/>
  <c r="FX11" i="1"/>
  <c r="FY11" i="1"/>
  <c r="FZ11" i="1"/>
  <c r="GA11" i="1"/>
  <c r="GB11" i="1"/>
  <c r="GC11" i="1"/>
  <c r="GD11" i="1"/>
  <c r="GE11" i="1"/>
  <c r="GF11" i="1"/>
  <c r="GG11" i="1"/>
  <c r="GH11" i="1"/>
  <c r="GI11" i="1"/>
  <c r="GJ11" i="1"/>
  <c r="GK11" i="1"/>
  <c r="GL11" i="1"/>
  <c r="GM11" i="1"/>
  <c r="GN11" i="1"/>
  <c r="GO11" i="1"/>
  <c r="GP11" i="1"/>
  <c r="GQ11" i="1"/>
  <c r="GR11" i="1"/>
  <c r="GS11" i="1"/>
  <c r="GT11" i="1"/>
  <c r="GU11" i="1"/>
  <c r="GV11" i="1"/>
  <c r="GW11" i="1"/>
  <c r="GX11" i="1"/>
  <c r="GY11" i="1"/>
  <c r="GZ11" i="1"/>
  <c r="HA11" i="1"/>
  <c r="HB11" i="1"/>
  <c r="HC11" i="1"/>
  <c r="HD11" i="1"/>
  <c r="HE11" i="1"/>
  <c r="HF11" i="1"/>
  <c r="HG11" i="1"/>
  <c r="HH11" i="1"/>
  <c r="HI11" i="1"/>
  <c r="HJ11" i="1"/>
  <c r="HK11" i="1"/>
  <c r="HL11" i="1"/>
  <c r="HM11" i="1"/>
  <c r="HN11" i="1"/>
  <c r="HO11" i="1"/>
  <c r="HP11" i="1"/>
  <c r="HQ11" i="1"/>
  <c r="HR11" i="1"/>
  <c r="HS11" i="1"/>
  <c r="HT11" i="1"/>
  <c r="HU11" i="1"/>
  <c r="HV11" i="1"/>
  <c r="HW11" i="1"/>
  <c r="HX11" i="1"/>
  <c r="HY11" i="1"/>
  <c r="HZ11" i="1"/>
  <c r="IA11" i="1"/>
  <c r="IB11" i="1"/>
  <c r="IC11" i="1"/>
  <c r="ID11" i="1"/>
  <c r="IE11" i="1"/>
  <c r="IF11" i="1"/>
  <c r="IG11" i="1"/>
  <c r="IH11" i="1"/>
  <c r="II11" i="1"/>
  <c r="IJ11" i="1"/>
  <c r="IK11" i="1"/>
  <c r="IL11" i="1"/>
  <c r="IM11" i="1"/>
  <c r="IN11" i="1"/>
  <c r="IO11" i="1"/>
  <c r="IP11" i="1"/>
  <c r="IQ11" i="1"/>
  <c r="IR11" i="1"/>
  <c r="IS11" i="1"/>
  <c r="IT11" i="1"/>
  <c r="IU11" i="1"/>
  <c r="IV11" i="1"/>
  <c r="IW11" i="1"/>
  <c r="IX11" i="1"/>
  <c r="IY11" i="1"/>
  <c r="IZ11" i="1"/>
  <c r="JA11" i="1"/>
  <c r="JB11" i="1"/>
  <c r="JC11" i="1"/>
  <c r="JD11" i="1"/>
  <c r="JE11" i="1"/>
  <c r="JF11" i="1"/>
  <c r="JG11" i="1"/>
  <c r="JH11" i="1"/>
  <c r="JI11" i="1"/>
  <c r="JJ11" i="1"/>
  <c r="JK11" i="1"/>
  <c r="JL11" i="1"/>
  <c r="JM11" i="1"/>
  <c r="JN11" i="1"/>
  <c r="JO11" i="1"/>
  <c r="JP11" i="1"/>
  <c r="JQ11" i="1"/>
  <c r="JR11" i="1"/>
  <c r="JS11" i="1"/>
  <c r="JT11" i="1"/>
  <c r="JU11" i="1"/>
  <c r="JV11" i="1"/>
  <c r="JW11" i="1"/>
  <c r="JX11" i="1"/>
  <c r="JY11" i="1"/>
  <c r="JZ11" i="1"/>
  <c r="KA11" i="1"/>
  <c r="KB11" i="1"/>
  <c r="KC11" i="1"/>
  <c r="KD11" i="1"/>
  <c r="KE11" i="1"/>
  <c r="KF11" i="1"/>
  <c r="KG11" i="1"/>
  <c r="KH11" i="1"/>
  <c r="KI11" i="1"/>
  <c r="KJ11" i="1"/>
  <c r="KK11" i="1"/>
  <c r="KL11" i="1"/>
  <c r="KM11" i="1"/>
  <c r="KN11" i="1"/>
  <c r="KO11" i="1"/>
  <c r="KP11" i="1"/>
  <c r="KQ11" i="1"/>
  <c r="KR11" i="1"/>
  <c r="KS11" i="1"/>
  <c r="KT11" i="1"/>
  <c r="KU11" i="1"/>
  <c r="KV11" i="1"/>
  <c r="KW11" i="1"/>
  <c r="KX11" i="1"/>
  <c r="KY11" i="1"/>
  <c r="AL11" i="1"/>
  <c r="AM11" i="1"/>
  <c r="AN11" i="1"/>
  <c r="AO11" i="1"/>
  <c r="AP11" i="1"/>
  <c r="AQ11" i="1"/>
  <c r="AR11" i="1"/>
  <c r="AS11" i="1"/>
  <c r="AT11" i="1"/>
  <c r="AU11" i="1"/>
  <c r="AV11" i="1"/>
  <c r="AW11" i="1"/>
  <c r="AX11" i="1"/>
  <c r="AY11" i="1"/>
  <c r="AZ11" i="1"/>
  <c r="BA11" i="1"/>
  <c r="BB11" i="1"/>
  <c r="BC11" i="1"/>
  <c r="BD11" i="1"/>
  <c r="BE11" i="1"/>
  <c r="BF11" i="1"/>
  <c r="BG11" i="1"/>
  <c r="BH11" i="1"/>
  <c r="BI11" i="1"/>
  <c r="BJ11" i="1"/>
  <c r="BK11" i="1"/>
  <c r="BL11" i="1"/>
  <c r="BM11" i="1"/>
  <c r="BN11" i="1"/>
  <c r="BP11" i="1"/>
  <c r="BQ11" i="1"/>
  <c r="BR11" i="1"/>
  <c r="BS11" i="1"/>
  <c r="BT11" i="1"/>
  <c r="BU11" i="1"/>
  <c r="BV11" i="1"/>
  <c r="BW11" i="1"/>
  <c r="BX11" i="1"/>
  <c r="BY11" i="1"/>
  <c r="BZ11" i="1"/>
  <c r="CA11" i="1"/>
  <c r="CB11" i="1"/>
  <c r="CC11" i="1"/>
  <c r="CD11" i="1"/>
  <c r="CE11" i="1"/>
  <c r="CF11" i="1"/>
  <c r="CG11" i="1"/>
  <c r="CH11" i="1"/>
  <c r="CI11" i="1"/>
  <c r="CJ11" i="1"/>
  <c r="CK11" i="1"/>
  <c r="CL11" i="1"/>
  <c r="CM11" i="1"/>
  <c r="CN11" i="1"/>
  <c r="CO11" i="1"/>
  <c r="CP11" i="1"/>
  <c r="CQ11" i="1"/>
  <c r="CR11" i="1"/>
  <c r="CS11" i="1"/>
  <c r="CT11" i="1"/>
  <c r="CU11" i="1"/>
  <c r="CV11" i="1"/>
  <c r="CW11" i="1"/>
  <c r="CX11" i="1"/>
  <c r="CY11" i="1"/>
  <c r="CZ11" i="1"/>
  <c r="DA11" i="1"/>
  <c r="DB11" i="1"/>
  <c r="DC11" i="1"/>
  <c r="DD11" i="1"/>
  <c r="DE11" i="1"/>
  <c r="DF11" i="1"/>
  <c r="DG11" i="1"/>
  <c r="DH11" i="1"/>
  <c r="DI11" i="1"/>
  <c r="DJ11" i="1"/>
  <c r="DK11" i="1"/>
  <c r="DL11" i="1"/>
  <c r="DM11" i="1"/>
  <c r="DN11" i="1"/>
  <c r="DO11" i="1"/>
  <c r="DP11" i="1"/>
  <c r="DQ11" i="1"/>
  <c r="DR11" i="1"/>
  <c r="AI11" i="1"/>
  <c r="AJ11" i="1"/>
  <c r="AK11" i="1"/>
  <c r="Q11" i="1"/>
  <c r="R11" i="1"/>
  <c r="S11" i="1"/>
  <c r="T11" i="1"/>
  <c r="U11" i="1"/>
  <c r="V11" i="1"/>
  <c r="W11" i="1"/>
  <c r="X11" i="1"/>
  <c r="Y11" i="1"/>
  <c r="Z11" i="1"/>
  <c r="AA11" i="1"/>
  <c r="AB11" i="1"/>
  <c r="AC11" i="1"/>
  <c r="AD11" i="1"/>
  <c r="AE11" i="1"/>
  <c r="AF11" i="1"/>
  <c r="AG11" i="1"/>
  <c r="AH11" i="1"/>
  <c r="J11" i="1"/>
  <c r="T24" i="4" l="1"/>
  <c r="S24" i="4"/>
  <c r="T23" i="4"/>
  <c r="S23" i="4"/>
  <c r="T31" i="4"/>
  <c r="T28" i="4"/>
  <c r="T34" i="4"/>
  <c r="T32" i="4"/>
  <c r="T33" i="4"/>
  <c r="T30" i="4"/>
  <c r="T29" i="4"/>
  <c r="T15" i="4"/>
  <c r="T14" i="4"/>
  <c r="Y17" i="4" s="1"/>
  <c r="S14" i="4"/>
  <c r="S15" i="4"/>
  <c r="T13" i="4"/>
  <c r="T9" i="4"/>
  <c r="S13" i="4" l="1"/>
  <c r="J23" i="4"/>
  <c r="J24" i="4"/>
  <c r="J25" i="4"/>
  <c r="J28" i="4"/>
  <c r="J29" i="4"/>
  <c r="J30" i="4"/>
  <c r="J31" i="4"/>
  <c r="J32" i="4"/>
  <c r="J33" i="4"/>
  <c r="J34" i="4"/>
  <c r="J35" i="4"/>
  <c r="J36" i="4"/>
  <c r="J13" i="4"/>
  <c r="J14" i="4"/>
  <c r="J15" i="4"/>
  <c r="J16" i="4"/>
  <c r="J17" i="4"/>
  <c r="J18" i="4"/>
  <c r="J19" i="4"/>
  <c r="J20" i="4"/>
  <c r="J12" i="4"/>
  <c r="BO11" i="1"/>
  <c r="P11" i="1"/>
  <c r="O11" i="1"/>
  <c r="N11" i="1"/>
  <c r="M11" i="1"/>
  <c r="L11" i="1"/>
  <c r="K11" i="1"/>
  <c r="I11" i="1"/>
  <c r="H11" i="1"/>
  <c r="E15" i="1"/>
  <c r="C20" i="1" l="1"/>
  <c r="DB8" i="1"/>
  <c r="DC8" i="1"/>
  <c r="DD8" i="1"/>
  <c r="DE8" i="1"/>
  <c r="DF8" i="1"/>
  <c r="DG8" i="1"/>
  <c r="DH8" i="1"/>
  <c r="DI8" i="1"/>
  <c r="BJ8" i="1"/>
  <c r="BK8" i="1"/>
  <c r="BL8" i="1"/>
  <c r="BM8" i="1"/>
  <c r="BN8" i="1"/>
  <c r="BO8" i="1"/>
  <c r="BP8" i="1"/>
  <c r="BQ8" i="1"/>
  <c r="BR8" i="1"/>
  <c r="BS8" i="1"/>
  <c r="BT8" i="1"/>
  <c r="BU8" i="1"/>
  <c r="BV8" i="1"/>
  <c r="BW8" i="1"/>
  <c r="BX8" i="1"/>
  <c r="BY8" i="1"/>
  <c r="BZ8" i="1"/>
  <c r="CA8" i="1"/>
  <c r="CB8" i="1"/>
  <c r="CC8" i="1"/>
  <c r="CD8" i="1"/>
  <c r="CE8" i="1"/>
  <c r="CF8" i="1"/>
  <c r="CG8" i="1"/>
  <c r="CH8" i="1"/>
  <c r="CI8" i="1"/>
  <c r="CJ8" i="1"/>
  <c r="CK8" i="1"/>
  <c r="CL8" i="1"/>
  <c r="CM8" i="1"/>
  <c r="CN8" i="1"/>
  <c r="CO8" i="1"/>
  <c r="CP8" i="1"/>
  <c r="CQ8" i="1"/>
  <c r="CR8" i="1"/>
  <c r="CS8" i="1"/>
  <c r="CT8" i="1"/>
  <c r="CU8" i="1"/>
  <c r="CV8" i="1"/>
  <c r="CW8" i="1"/>
  <c r="CX8" i="1"/>
  <c r="CY8" i="1"/>
  <c r="CZ8" i="1"/>
  <c r="DA8" i="1"/>
  <c r="BI8" i="1"/>
  <c r="H23" i="6" l="1"/>
  <c r="L22" i="6" s="1"/>
  <c r="L23" i="6" s="1"/>
  <c r="L18" i="6"/>
  <c r="T89" i="4"/>
  <c r="U89" i="4" s="1"/>
  <c r="T88" i="4"/>
  <c r="U88" i="4" s="1"/>
  <c r="T87" i="4"/>
  <c r="U87" i="4" s="1"/>
  <c r="T86" i="4"/>
  <c r="U86" i="4" s="1"/>
  <c r="T85" i="4"/>
  <c r="U85" i="4" s="1"/>
  <c r="T84" i="4"/>
  <c r="T83" i="4"/>
  <c r="U83" i="4" s="1"/>
  <c r="T82" i="4"/>
  <c r="U82" i="4" s="1"/>
  <c r="T81" i="4"/>
  <c r="U81" i="4" s="1"/>
  <c r="T77" i="4"/>
  <c r="U77" i="4" s="1"/>
  <c r="T74" i="4"/>
  <c r="U74" i="4" s="1"/>
  <c r="T70" i="4"/>
  <c r="T69" i="4"/>
  <c r="U69" i="4" s="1"/>
  <c r="T68" i="4"/>
  <c r="T67" i="4"/>
  <c r="Y68" i="4" s="1"/>
  <c r="AQ36" i="4"/>
  <c r="AQ35" i="4"/>
  <c r="BH34" i="4"/>
  <c r="AP34" i="4" s="1"/>
  <c r="AQ34" i="4"/>
  <c r="BH33" i="4"/>
  <c r="AP33" i="4" s="1"/>
  <c r="AQ33" i="4"/>
  <c r="BH32" i="4"/>
  <c r="AP32" i="4" s="1"/>
  <c r="AQ32" i="4"/>
  <c r="BH31" i="4"/>
  <c r="AP31" i="4" s="1"/>
  <c r="AQ31" i="4"/>
  <c r="BH30" i="4"/>
  <c r="AP30" i="4" s="1"/>
  <c r="AQ30" i="4"/>
  <c r="BH29" i="4"/>
  <c r="AP29" i="4" s="1"/>
  <c r="AQ29" i="4"/>
  <c r="BH28" i="4"/>
  <c r="AP28" i="4" s="1"/>
  <c r="AQ28" i="4"/>
  <c r="BI25" i="4"/>
  <c r="AQ25" i="4"/>
  <c r="AP25" i="4"/>
  <c r="Y25" i="4"/>
  <c r="T25" i="4"/>
  <c r="S25" i="4"/>
  <c r="BI24" i="4"/>
  <c r="BI23" i="4"/>
  <c r="AQ23" i="4"/>
  <c r="AP23" i="4"/>
  <c r="BH21" i="4"/>
  <c r="AO21" i="4"/>
  <c r="AN21" i="4"/>
  <c r="BH20" i="4"/>
  <c r="AO20" i="4"/>
  <c r="AN20" i="4"/>
  <c r="T20" i="4"/>
  <c r="AL19" i="4"/>
  <c r="AM19" i="4" s="1"/>
  <c r="AK19" i="4"/>
  <c r="AJ19" i="4"/>
  <c r="T19" i="4"/>
  <c r="BI18" i="4"/>
  <c r="BH18" i="4"/>
  <c r="AO18" i="4"/>
  <c r="AN18" i="4"/>
  <c r="AK18" i="4" s="1"/>
  <c r="BJ17" i="4"/>
  <c r="BI17" i="4"/>
  <c r="BH17" i="4"/>
  <c r="BF17" i="4"/>
  <c r="BE17" i="4"/>
  <c r="BD17" i="4"/>
  <c r="BC17" i="4"/>
  <c r="BB17" i="4"/>
  <c r="BA17" i="4"/>
  <c r="AZ17" i="4"/>
  <c r="AY17" i="4"/>
  <c r="AW17" i="4"/>
  <c r="AU17" i="4"/>
  <c r="AO17" i="4"/>
  <c r="AN17" i="4"/>
  <c r="T17" i="4"/>
  <c r="BK16" i="4"/>
  <c r="BF16" i="4"/>
  <c r="BE16" i="4"/>
  <c r="BD16" i="4"/>
  <c r="BC16" i="4"/>
  <c r="BB16" i="4"/>
  <c r="BA16" i="4"/>
  <c r="AZ16" i="4"/>
  <c r="AY16" i="4"/>
  <c r="AX16" i="4"/>
  <c r="AW16" i="4"/>
  <c r="AV16" i="4"/>
  <c r="AT16" i="4"/>
  <c r="AS16" i="4"/>
  <c r="AR16" i="4"/>
  <c r="AQ16" i="4"/>
  <c r="AP16" i="4"/>
  <c r="C16" i="4"/>
  <c r="BJ15" i="4"/>
  <c r="BI15" i="4"/>
  <c r="BH15" i="4"/>
  <c r="AU15" i="4"/>
  <c r="AO15" i="4"/>
  <c r="AN15" i="4"/>
  <c r="C15" i="4"/>
  <c r="BJ14" i="4"/>
  <c r="BI14" i="4"/>
  <c r="BH14" i="4"/>
  <c r="AU14" i="4"/>
  <c r="AO14" i="4"/>
  <c r="AN14" i="4"/>
  <c r="BJ13" i="4"/>
  <c r="BI13" i="4"/>
  <c r="AS13" i="4"/>
  <c r="AR13" i="4"/>
  <c r="AQ13" i="4"/>
  <c r="AP13" i="4"/>
  <c r="T12" i="4"/>
  <c r="S12" i="4"/>
  <c r="AL9" i="4"/>
  <c r="AM9" i="4" s="1"/>
  <c r="AK9" i="4"/>
  <c r="AJ9" i="4"/>
  <c r="T8" i="4"/>
  <c r="F51" i="5" l="1"/>
  <c r="AC13" i="6"/>
  <c r="AC20" i="6" s="1"/>
  <c r="L19" i="6"/>
  <c r="L20" i="6" s="1"/>
  <c r="AL18" i="4"/>
  <c r="AM18" i="4" s="1"/>
  <c r="AJ18" i="4"/>
  <c r="AU16" i="4"/>
  <c r="T18" i="4"/>
  <c r="T16" i="4"/>
  <c r="Y28" i="4" s="1"/>
  <c r="AL21" i="4"/>
  <c r="AM21" i="4" s="1"/>
  <c r="BI16" i="4"/>
  <c r="BJ16" i="4"/>
  <c r="AL20" i="4"/>
  <c r="AM20" i="4" s="1"/>
  <c r="BH16" i="4"/>
  <c r="AL13" i="4"/>
  <c r="AM13" i="4" s="1"/>
  <c r="Y23" i="4"/>
  <c r="AL17" i="4"/>
  <c r="AM17" i="4" s="1"/>
  <c r="E13" i="4"/>
  <c r="E14" i="4" s="1"/>
  <c r="AK20" i="4"/>
  <c r="AO16" i="4"/>
  <c r="AN16" i="4"/>
  <c r="A56" i="4"/>
  <c r="A58" i="4" s="1"/>
  <c r="Y13" i="4" s="1"/>
  <c r="U84" i="4"/>
  <c r="AL34" i="4"/>
  <c r="AM34" i="4" s="1"/>
  <c r="AK34" i="4"/>
  <c r="AJ34" i="4"/>
  <c r="AJ29" i="4"/>
  <c r="AL29" i="4"/>
  <c r="AM29" i="4" s="1"/>
  <c r="AK29" i="4"/>
  <c r="AJ32" i="4"/>
  <c r="AL32" i="4"/>
  <c r="AM32" i="4" s="1"/>
  <c r="AK32" i="4"/>
  <c r="AJ30" i="4"/>
  <c r="AL30" i="4"/>
  <c r="AM30" i="4" s="1"/>
  <c r="AK30" i="4"/>
  <c r="AJ33" i="4"/>
  <c r="AL33" i="4"/>
  <c r="AM33" i="4" s="1"/>
  <c r="AK33" i="4"/>
  <c r="AL28" i="4"/>
  <c r="AM28" i="4" s="1"/>
  <c r="AK28" i="4"/>
  <c r="AJ28" i="4"/>
  <c r="A59" i="4"/>
  <c r="Y15" i="4" s="1"/>
  <c r="AL31" i="4"/>
  <c r="AM31" i="4" s="1"/>
  <c r="AK31" i="4"/>
  <c r="AJ31" i="4"/>
  <c r="AJ13" i="4"/>
  <c r="AJ17" i="4"/>
  <c r="T36" i="4"/>
  <c r="AK13" i="4"/>
  <c r="AK17" i="4"/>
  <c r="AJ21" i="4"/>
  <c r="U70" i="4"/>
  <c r="T35" i="4"/>
  <c r="AJ20" i="4"/>
  <c r="AK21" i="4"/>
  <c r="E18" i="1"/>
  <c r="E14" i="1"/>
  <c r="E19" i="1"/>
  <c r="H47" i="5" l="1"/>
  <c r="F46" i="5"/>
  <c r="H48" i="5"/>
  <c r="F48" i="5"/>
  <c r="F47" i="5"/>
  <c r="F49" i="5"/>
  <c r="H49" i="5"/>
  <c r="F50" i="5"/>
  <c r="H50" i="5"/>
  <c r="H51" i="5"/>
  <c r="AC15" i="6"/>
  <c r="AC18" i="6"/>
  <c r="AC14" i="6"/>
  <c r="AC21" i="6"/>
  <c r="AC22" i="6"/>
  <c r="AC19" i="6"/>
  <c r="AC17" i="6"/>
  <c r="AC16" i="6"/>
  <c r="T61" i="4"/>
  <c r="T62" i="4" s="1"/>
  <c r="C14" i="1"/>
  <c r="E13" i="1" s="1"/>
  <c r="C13" i="1" s="1"/>
  <c r="C16" i="1"/>
  <c r="C18" i="1"/>
  <c r="E17" i="1"/>
  <c r="C17" i="1" s="1"/>
  <c r="E16" i="1" s="1"/>
  <c r="K51" i="5" l="1"/>
  <c r="J51" i="5"/>
  <c r="J49" i="5"/>
  <c r="K49" i="5"/>
  <c r="J48" i="5"/>
  <c r="K48" i="5"/>
  <c r="J50" i="5"/>
  <c r="K50" i="5"/>
  <c r="J47" i="5"/>
  <c r="K47" i="5"/>
  <c r="H46" i="5"/>
  <c r="E12" i="1"/>
  <c r="D12" i="1" s="1"/>
  <c r="D16" i="1"/>
  <c r="J46" i="5" l="1"/>
  <c r="K46" i="5"/>
  <c r="H11" i="6"/>
  <c r="L21" i="6"/>
  <c r="L25" i="6" s="1"/>
  <c r="K11" i="6" l="1"/>
  <c r="AC10" i="6"/>
  <c r="L24" i="6"/>
  <c r="AD20" i="6" l="1"/>
  <c r="AD18" i="6"/>
  <c r="AD16" i="6"/>
  <c r="AD14" i="6"/>
  <c r="AD15" i="6"/>
  <c r="AD17" i="6"/>
  <c r="AD21" i="6"/>
  <c r="AD22" i="6"/>
  <c r="AD19" i="6"/>
</calcChain>
</file>

<file path=xl/comments1.xml><?xml version="1.0" encoding="utf-8"?>
<comments xmlns="http://schemas.openxmlformats.org/spreadsheetml/2006/main">
  <authors>
    <author>Annika Nordin</author>
  </authors>
  <commentList>
    <comment ref="W12" authorId="0" shapeId="0">
      <text>
        <r>
          <rPr>
            <b/>
            <sz val="9"/>
            <color indexed="81"/>
            <rFont val="Tahoma"/>
            <family val="2"/>
          </rPr>
          <t>Annika Nordin:</t>
        </r>
        <r>
          <rPr>
            <sz val="9"/>
            <color indexed="81"/>
            <rFont val="Tahoma"/>
            <family val="2"/>
          </rPr>
          <t xml:space="preserve">
För ureabehandlat klosettvatten brukar pH bli minst 9 för tillsatser om minst 0.5% urea. pH för obehandlat klosettvatten har visat på variation (6,5-8,5) med högre värden från brunnar där en del material (10 cm) legat kvar från tidigare behandling vilket ger både högre pH och något högre ammoniak-kväve jämfört med klosettvatten när det är i tankbil.</t>
        </r>
      </text>
    </comment>
    <comment ref="W13" authorId="0" shapeId="0">
      <text>
        <r>
          <rPr>
            <b/>
            <sz val="9"/>
            <color indexed="81"/>
            <rFont val="Tahoma"/>
            <family val="2"/>
          </rPr>
          <t>Annika Nordin:</t>
        </r>
        <r>
          <rPr>
            <sz val="9"/>
            <color indexed="81"/>
            <rFont val="Tahoma"/>
            <family val="2"/>
          </rPr>
          <t xml:space="preserve">
Torrsubstanshalt har varierat när prov tagits i fält vilket dock i viss mån kan förklaras med att det är svårt att ta ut representativa prover på ett så vått material där partiklar snabbt sedimenterar.</t>
        </r>
      </text>
    </comment>
    <comment ref="W15" authorId="0" shapeId="0">
      <text>
        <r>
          <rPr>
            <b/>
            <sz val="9"/>
            <color indexed="81"/>
            <rFont val="Tahoma"/>
            <family val="2"/>
          </rPr>
          <t>Annika Nordin:</t>
        </r>
        <r>
          <rPr>
            <sz val="9"/>
            <color indexed="81"/>
            <rFont val="Tahoma"/>
            <family val="2"/>
          </rPr>
          <t xml:space="preserve">
En relativt stor andel av kvävet i klosettvatten är ammoniak som bildats då urea från urin brutits ned. I det behandlade klosettvattent utgör ammoniak-kvävet 80-90% av det totala kvävet. När klosettvatten urea-behandlas ökar både koncentrationen och andelen ammoniak-kväve. </t>
        </r>
      </text>
    </comment>
  </commentList>
</comments>
</file>

<file path=xl/sharedStrings.xml><?xml version="1.0" encoding="utf-8"?>
<sst xmlns="http://schemas.openxmlformats.org/spreadsheetml/2006/main" count="562" uniqueCount="384">
  <si>
    <t>Område</t>
  </si>
  <si>
    <t>Jan</t>
  </si>
  <si>
    <t>Feb</t>
  </si>
  <si>
    <t>Mars</t>
  </si>
  <si>
    <t>April</t>
  </si>
  <si>
    <t>Maj</t>
  </si>
  <si>
    <t>Juni</t>
  </si>
  <si>
    <t>Juli</t>
  </si>
  <si>
    <t>Aug</t>
  </si>
  <si>
    <t>Sept</t>
  </si>
  <si>
    <t>Okt</t>
  </si>
  <si>
    <t>Nov</t>
  </si>
  <si>
    <t>Dec</t>
  </si>
  <si>
    <t>Nitratkänsliga områden i Skåne, Blekinge och Halland</t>
  </si>
  <si>
    <t>bara sprida gödsel i växande gröda eller inför höstsådd av oljeväxter. Om lerhalten mer än 15 procent får du även sprida gödsel i andra höstsådda grödor. Grödorna ska vara avsedda för övervintring och får inte vara en fånggröda.</t>
  </si>
  <si>
    <t>?</t>
  </si>
  <si>
    <t>Nitratkänsliga områden</t>
  </si>
  <si>
    <t>Under denna period får du bara sprida stallgödsel och organiska gödselmedel i växande gröda eller inför höstsådd. Grödorna ska vara avsedda för övervintring och får inte vara en fånggröda.</t>
  </si>
  <si>
    <t>Utanför nitratkänsliga områden</t>
  </si>
  <si>
    <t>myllas ned inom 12 timmar</t>
  </si>
  <si>
    <t>myllas ned</t>
  </si>
  <si>
    <t>Autopopulate cells</t>
  </si>
  <si>
    <t>X</t>
  </si>
  <si>
    <t>OK</t>
  </si>
  <si>
    <t>R</t>
  </si>
  <si>
    <t>Klosettvatten startvärden:</t>
  </si>
  <si>
    <t>Torrsubstans (%)</t>
  </si>
  <si>
    <t>Startdatum</t>
  </si>
  <si>
    <t>Dagar</t>
  </si>
  <si>
    <t>Slutdatum</t>
  </si>
  <si>
    <t>Gödsling (gröda 1)</t>
  </si>
  <si>
    <t>Gödsling (Gröda 2)</t>
  </si>
  <si>
    <t>Behandling batch 1</t>
  </si>
  <si>
    <t>Provtagning batch 1</t>
  </si>
  <si>
    <t>Provtagning batch 2</t>
  </si>
  <si>
    <t>Insamling batch 1</t>
  </si>
  <si>
    <t>Insamling batch 2</t>
  </si>
  <si>
    <t>näring</t>
  </si>
  <si>
    <t>urea</t>
  </si>
  <si>
    <t>metall</t>
  </si>
  <si>
    <t>TS</t>
  </si>
  <si>
    <t>bact</t>
  </si>
  <si>
    <t>Tolkning av analysdata</t>
  </si>
  <si>
    <t>mg/L</t>
  </si>
  <si>
    <t>%</t>
  </si>
  <si>
    <t>g/L</t>
  </si>
  <si>
    <t>cfu/100 g</t>
  </si>
  <si>
    <t>nov</t>
  </si>
  <si>
    <t>g/kg TS</t>
  </si>
  <si>
    <t>μg/l</t>
  </si>
  <si>
    <t>% av våtvikt</t>
  </si>
  <si>
    <t>min</t>
  </si>
  <si>
    <t>max</t>
  </si>
  <si>
    <t>av</t>
  </si>
  <si>
    <t>cv</t>
  </si>
  <si>
    <t>Skarnhälla slamanalys 2014-04-28 Alcontrol</t>
  </si>
  <si>
    <t>Skarnhälla alcontrol slamanalys2015-04-07</t>
  </si>
  <si>
    <t>Nackunga 2012, före</t>
  </si>
  <si>
    <t xml:space="preserve">Nackunga 2012 efter </t>
  </si>
  <si>
    <t>IN</t>
  </si>
  <si>
    <t>Slutlager</t>
  </si>
  <si>
    <t>Förlager</t>
  </si>
  <si>
    <t>Rektor</t>
  </si>
  <si>
    <t xml:space="preserve"> Skarnhälla 2016-08-15 Alkontroll avloppsvatten</t>
  </si>
  <si>
    <t>Hölö  2010-06-28 Eurofins annat vatten</t>
  </si>
  <si>
    <t>Hölö 2010-09-03 Eurofinns annat vatten</t>
  </si>
  <si>
    <t>mg/kg</t>
  </si>
  <si>
    <t>kg/m3</t>
  </si>
  <si>
    <t>mg/kg TS</t>
  </si>
  <si>
    <t>cfu/kg TS</t>
  </si>
  <si>
    <t>Behandling:</t>
  </si>
  <si>
    <t>Material och näring</t>
  </si>
  <si>
    <t>r1</t>
  </si>
  <si>
    <t>r2</t>
  </si>
  <si>
    <t>reaktor ef beh</t>
  </si>
  <si>
    <t>råvara förlager</t>
  </si>
  <si>
    <t>F1</t>
  </si>
  <si>
    <t>Nr 12350584</t>
  </si>
  <si>
    <t>Nr 12390139</t>
  </si>
  <si>
    <t>Nr 12407758</t>
  </si>
  <si>
    <t>Nr 13029344</t>
  </si>
  <si>
    <t>Nr. 13045714 Slut1</t>
  </si>
  <si>
    <t>Nr.13045712 F2</t>
  </si>
  <si>
    <t>13045711 R2</t>
  </si>
  <si>
    <t>13045710 R1</t>
  </si>
  <si>
    <t>13045709 F1</t>
  </si>
  <si>
    <t>cfu/per 25 g</t>
  </si>
  <si>
    <t>volym (m3)</t>
  </si>
  <si>
    <t>Klosettvatten</t>
  </si>
  <si>
    <r>
      <t xml:space="preserve"> m</t>
    </r>
    <r>
      <rPr>
        <b/>
        <vertAlign val="superscript"/>
        <sz val="12"/>
        <color theme="1"/>
        <rFont val="Calibri"/>
        <family val="2"/>
        <scheme val="minor"/>
      </rPr>
      <t>3</t>
    </r>
  </si>
  <si>
    <t>Urea dosering</t>
  </si>
  <si>
    <t>12.10.25</t>
  </si>
  <si>
    <t>12.12.06</t>
  </si>
  <si>
    <t>12.12.13</t>
  </si>
  <si>
    <t>13.01.29</t>
  </si>
  <si>
    <t>2013-02-12</t>
  </si>
  <si>
    <t>Urea-dos</t>
  </si>
  <si>
    <r>
      <t>kg/m</t>
    </r>
    <r>
      <rPr>
        <b/>
        <vertAlign val="superscript"/>
        <sz val="12"/>
        <color theme="1"/>
        <rFont val="Calibri"/>
        <family val="2"/>
        <scheme val="minor"/>
      </rPr>
      <t>3</t>
    </r>
  </si>
  <si>
    <t>Glödförlust</t>
  </si>
  <si>
    <t>% TS</t>
  </si>
  <si>
    <t>Aska</t>
  </si>
  <si>
    <t>Välj enhet i rulllist</t>
  </si>
  <si>
    <t>Ange mätvärde</t>
  </si>
  <si>
    <t>Näring:</t>
  </si>
  <si>
    <t>Råvara</t>
  </si>
  <si>
    <t>Produkt</t>
  </si>
  <si>
    <t>enhet</t>
  </si>
  <si>
    <t>Ref. interval</t>
  </si>
  <si>
    <t>Info</t>
  </si>
  <si>
    <t>Resultat:</t>
  </si>
  <si>
    <t>kg TS per Liter</t>
  </si>
  <si>
    <t>enhetslös</t>
  </si>
  <si>
    <t>pH</t>
  </si>
  <si>
    <t>9,0-9,3</t>
  </si>
  <si>
    <t>Nutrient factor</t>
  </si>
  <si>
    <t>Torrsubstans</t>
  </si>
  <si>
    <t>0,14-0,40</t>
  </si>
  <si>
    <t>Torrsubstanshalt</t>
  </si>
  <si>
    <t>% vv</t>
  </si>
  <si>
    <t xml:space="preserve"> g nutrient per g TS</t>
  </si>
  <si>
    <t>Totalkväve (N)</t>
  </si>
  <si>
    <t>Max tot N</t>
  </si>
  <si>
    <t>Ammoniak-kväve (TAN)</t>
  </si>
  <si>
    <t>max tot TAN</t>
  </si>
  <si>
    <t>Fosfor (P)</t>
  </si>
  <si>
    <t>0,018-0,090</t>
  </si>
  <si>
    <t>om ej spolvatten</t>
  </si>
  <si>
    <t>Kalium (K)</t>
  </si>
  <si>
    <t>0,088-0,17</t>
  </si>
  <si>
    <t>Svavel (S)</t>
  </si>
  <si>
    <t>Kalcium (Ca)</t>
  </si>
  <si>
    <t>0,01-0,24</t>
  </si>
  <si>
    <t>Magnesium (Mg)</t>
  </si>
  <si>
    <t>0,002-0,13</t>
  </si>
  <si>
    <t>Smittämnen:</t>
  </si>
  <si>
    <t>Gränsvärde SPCR178</t>
  </si>
  <si>
    <t>Smittämnen</t>
  </si>
  <si>
    <t>Salmonella</t>
  </si>
  <si>
    <t>per 25 g</t>
  </si>
  <si>
    <t>låga halter</t>
  </si>
  <si>
    <t>0/25 gram</t>
  </si>
  <si>
    <r>
      <t>log</t>
    </r>
    <r>
      <rPr>
        <b/>
        <vertAlign val="subscript"/>
        <sz val="14"/>
        <color theme="1"/>
        <rFont val="Calibri"/>
        <family val="2"/>
        <scheme val="minor"/>
      </rPr>
      <t>10</t>
    </r>
    <r>
      <rPr>
        <b/>
        <sz val="14"/>
        <color theme="1"/>
        <rFont val="Calibri"/>
        <family val="2"/>
        <scheme val="minor"/>
      </rPr>
      <t xml:space="preserve"> reduktion </t>
    </r>
    <r>
      <rPr>
        <b/>
        <i/>
        <sz val="14"/>
        <color theme="1"/>
        <rFont val="Calibri"/>
        <family val="2"/>
        <scheme val="minor"/>
      </rPr>
      <t>E. coli</t>
    </r>
  </si>
  <si>
    <t>Intestinala enterokocker</t>
  </si>
  <si>
    <t>&lt;1</t>
  </si>
  <si>
    <t>E. coli</t>
  </si>
  <si>
    <r>
      <t>log</t>
    </r>
    <r>
      <rPr>
        <vertAlign val="subscript"/>
        <sz val="12"/>
        <color theme="1"/>
        <rFont val="Calibri"/>
        <family val="2"/>
        <scheme val="minor"/>
      </rPr>
      <t>10</t>
    </r>
    <r>
      <rPr>
        <sz val="12"/>
        <color theme="1"/>
        <rFont val="Calibri"/>
        <family val="2"/>
        <scheme val="minor"/>
      </rPr>
      <t>/ml</t>
    </r>
  </si>
  <si>
    <t>&lt;2-5</t>
  </si>
  <si>
    <t>&lt;100/ml</t>
  </si>
  <si>
    <t>Koliforma bakterier 35°C</t>
  </si>
  <si>
    <t>metal factor</t>
  </si>
  <si>
    <t>Enterokocker</t>
  </si>
  <si>
    <t>3-4</t>
  </si>
  <si>
    <t>-</t>
  </si>
  <si>
    <t>E.coli</t>
  </si>
  <si>
    <t>ej påvisad</t>
  </si>
  <si>
    <t>ej påvisad i 25g</t>
  </si>
  <si>
    <t>Metaller:</t>
  </si>
  <si>
    <t>gränsvärde SFS 1998:944</t>
  </si>
  <si>
    <t>Metaller</t>
  </si>
  <si>
    <t>TS saknas</t>
  </si>
  <si>
    <t>Koppar (Cu)</t>
  </si>
  <si>
    <t>mg/ kg TS</t>
  </si>
  <si>
    <t>Kadmium-fosforkvot</t>
  </si>
  <si>
    <t>mg/l</t>
  </si>
  <si>
    <t>Zink (Zn)</t>
  </si>
  <si>
    <t>mg/</t>
  </si>
  <si>
    <t>Bly (Pb)</t>
  </si>
  <si>
    <t>Kadmium (Cd)</t>
  </si>
  <si>
    <t>Krom (Cr)</t>
  </si>
  <si>
    <t>Kvicksilver (Hg)</t>
  </si>
  <si>
    <t>Nickel (Ni)</t>
  </si>
  <si>
    <t>Tenn Sn</t>
  </si>
  <si>
    <t>Tenn Sn (uppslutet)</t>
  </si>
  <si>
    <t>Silver Ag</t>
  </si>
  <si>
    <t>Silver Ag (uppslutet)</t>
  </si>
  <si>
    <t>DM latrine</t>
  </si>
  <si>
    <t>g TS per liter no dilution</t>
  </si>
  <si>
    <t>BERÄKNINGSUNDERLAG</t>
  </si>
  <si>
    <t>tan G/l latrin</t>
  </si>
  <si>
    <t>Hidden background calculations</t>
  </si>
  <si>
    <t>times dilution</t>
  </si>
  <si>
    <t>DM per liter no flush/DM in BW</t>
  </si>
  <si>
    <t>BW liters /p*d</t>
  </si>
  <si>
    <t>Not used parameters are hidden</t>
  </si>
  <si>
    <t>g/pd (34-40 mg/p *d)</t>
  </si>
  <si>
    <t>red figures update after P ban and updated data on food</t>
  </si>
  <si>
    <t>Notation</t>
  </si>
  <si>
    <t>Parameter</t>
  </si>
  <si>
    <t>urine</t>
  </si>
  <si>
    <t>faeces</t>
  </si>
  <si>
    <t>toilet paper</t>
  </si>
  <si>
    <t>Mix  caclulated</t>
  </si>
  <si>
    <t>DM factors used in model</t>
  </si>
  <si>
    <t>H2O</t>
  </si>
  <si>
    <t xml:space="preserve">Water </t>
  </si>
  <si>
    <t>tot latrin L/p d</t>
  </si>
  <si>
    <t>Total solids</t>
  </si>
  <si>
    <t>Ntot</t>
  </si>
  <si>
    <t xml:space="preserve">Total nitrogen </t>
  </si>
  <si>
    <t>NNH3/NH4</t>
  </si>
  <si>
    <t xml:space="preserve">Ammonia/ammonium-nitrogen </t>
  </si>
  <si>
    <t>NNO3</t>
  </si>
  <si>
    <t>Nitrate-nitrogen</t>
  </si>
  <si>
    <t>Nsol,org</t>
  </si>
  <si>
    <t>Nitrogen, soluble &amp; organic</t>
  </si>
  <si>
    <t>Npart,org</t>
  </si>
  <si>
    <t xml:space="preserve">Nitrogen, particulate&amp; organic </t>
  </si>
  <si>
    <t>Ptot</t>
  </si>
  <si>
    <t xml:space="preserve">Total phosphorus </t>
  </si>
  <si>
    <t>ewach 30 ggr spolvatten i urin , P fälls ut</t>
  </si>
  <si>
    <t>kalk i vatten , avhärdat kopppar korrosivt</t>
  </si>
  <si>
    <t>PPO4</t>
  </si>
  <si>
    <t xml:space="preserve">Phosphate-phosphorus </t>
  </si>
  <si>
    <t>7.7-40 i skåne</t>
  </si>
  <si>
    <t>svensson och johansson</t>
  </si>
  <si>
    <t>PPart</t>
  </si>
  <si>
    <t>Particulate phosphorus</t>
  </si>
  <si>
    <t>Stot</t>
  </si>
  <si>
    <t xml:space="preserve">Total sulphur </t>
  </si>
  <si>
    <t>SSO4</t>
  </si>
  <si>
    <t xml:space="preserve">Sulphate-sulphur </t>
  </si>
  <si>
    <t>koppar, spolvatten samt skurvatten = högre konc</t>
  </si>
  <si>
    <t>SS2-</t>
  </si>
  <si>
    <t>Sulphide-sulphur</t>
  </si>
  <si>
    <t>zink från gulmetaller i kopplingar</t>
  </si>
  <si>
    <t>Spart</t>
  </si>
  <si>
    <t>Particulate sulphurs</t>
  </si>
  <si>
    <t>kadmium fälls ut i mindre utsträckning i stuvit än P</t>
  </si>
  <si>
    <t>Ktot</t>
  </si>
  <si>
    <t xml:space="preserve">Total potassium </t>
  </si>
  <si>
    <t>cd/P kvot troligen sämre för klarfasen</t>
  </si>
  <si>
    <t>Kcell</t>
  </si>
  <si>
    <t>Potassium in cells</t>
  </si>
  <si>
    <t>Pb</t>
  </si>
  <si>
    <t xml:space="preserve">Lead </t>
  </si>
  <si>
    <t>Cd</t>
  </si>
  <si>
    <t xml:space="preserve">Cadmium </t>
  </si>
  <si>
    <t>Hg</t>
  </si>
  <si>
    <t xml:space="preserve">Mercury </t>
  </si>
  <si>
    <t>Cu</t>
  </si>
  <si>
    <t>Cupper</t>
  </si>
  <si>
    <t>Cr</t>
  </si>
  <si>
    <t xml:space="preserve">Chromium </t>
  </si>
  <si>
    <t>Ni</t>
  </si>
  <si>
    <t xml:space="preserve">Nickel </t>
  </si>
  <si>
    <t>Zn</t>
  </si>
  <si>
    <t>Zinc</t>
  </si>
  <si>
    <t>Low</t>
  </si>
  <si>
    <t>High</t>
  </si>
  <si>
    <t>Resultat</t>
  </si>
  <si>
    <t>Gödselspridning</t>
  </si>
  <si>
    <t>Giva (ton/ha)</t>
  </si>
  <si>
    <t>Kväve (g/L)</t>
  </si>
  <si>
    <t>Spridningsareal (ha)</t>
  </si>
  <si>
    <t>Näringsämne</t>
  </si>
  <si>
    <t>Koncentration</t>
  </si>
  <si>
    <t>Giva</t>
  </si>
  <si>
    <t>(kg/ton)</t>
  </si>
  <si>
    <t xml:space="preserve"> (kg /ha)</t>
  </si>
  <si>
    <t>Urea-dos (%)</t>
  </si>
  <si>
    <t>Gödsling:</t>
  </si>
  <si>
    <t>Totalkväve (kg/ha)</t>
  </si>
  <si>
    <t>* Lättillgängligt kväve max 150 kg N/(ha år), för höstsådd nitratkänsliga områden 30-60 kg N/ha beroende på gröda (SJVFS 2004:62)</t>
  </si>
  <si>
    <t>Koppar (Cu)*</t>
  </si>
  <si>
    <t>* För koppar kan större tillförsel godtas om det kan visas att den aktuella åkermarken där avloppsfraktionen skall spridas behöver kopparstillskott.</t>
  </si>
  <si>
    <t>Detta verktyg utvecklades inom ett projekt (Projnr: JTI-21-83-613) finansierat av JTI-Stiftelsen under tema Cirkularitet/restströmmar.</t>
  </si>
  <si>
    <t>Metaller behandlat klosettvatten - koncentrationer och tillförsel till mark</t>
  </si>
  <si>
    <t>Metall</t>
  </si>
  <si>
    <t xml:space="preserve">Koncentration </t>
  </si>
  <si>
    <t>Tillförsel till mark</t>
  </si>
  <si>
    <t>(g/ton) (mg/L)</t>
  </si>
  <si>
    <t>(mg/kg TS)</t>
  </si>
  <si>
    <t>(g/(ha)</t>
  </si>
  <si>
    <t>Maxtillförsel SNFS 1994:2 (g/ha år)</t>
  </si>
  <si>
    <t>Ammoniak-kväve (g/L)</t>
  </si>
  <si>
    <t>Hygienisering</t>
  </si>
  <si>
    <t>Tiden för nedbrytning av urea beräknas från temperaturen och är tillagd i den total tiden för hygienisering</t>
  </si>
  <si>
    <t>pKa</t>
  </si>
  <si>
    <t>Dosering  av urea</t>
  </si>
  <si>
    <t>k  (log10/day)</t>
  </si>
  <si>
    <t>$</t>
  </si>
  <si>
    <t>efter urea brutits ned</t>
  </si>
  <si>
    <r>
      <t>Klosettvattenvolym (m</t>
    </r>
    <r>
      <rPr>
        <vertAlign val="superscript"/>
        <sz val="12"/>
        <color theme="1"/>
        <rFont val="Calibri"/>
        <family val="2"/>
        <scheme val="minor"/>
      </rPr>
      <t>3</t>
    </r>
    <r>
      <rPr>
        <sz val="12"/>
        <color theme="1"/>
        <rFont val="Calibri"/>
        <family val="2"/>
        <scheme val="minor"/>
      </rPr>
      <t>)</t>
    </r>
  </si>
  <si>
    <t>Ureabehandling</t>
  </si>
  <si>
    <t>y = -x + 25</t>
  </si>
  <si>
    <t>dagar=25-temp</t>
  </si>
  <si>
    <r>
      <t>Tillsats (kg/m</t>
    </r>
    <r>
      <rPr>
        <vertAlign val="superscript"/>
        <sz val="12"/>
        <color theme="1"/>
        <rFont val="Calibri"/>
        <family val="2"/>
        <scheme val="minor"/>
      </rPr>
      <t>3</t>
    </r>
    <r>
      <rPr>
        <sz val="12"/>
        <color theme="1"/>
        <rFont val="Calibri"/>
        <family val="2"/>
        <scheme val="minor"/>
      </rPr>
      <t>)</t>
    </r>
  </si>
  <si>
    <t>R² = 1</t>
  </si>
  <si>
    <t>Tillsats (kg)</t>
  </si>
  <si>
    <t>okt-mars</t>
  </si>
  <si>
    <r>
      <t>NH</t>
    </r>
    <r>
      <rPr>
        <vertAlign val="subscript"/>
        <sz val="12"/>
        <color theme="1"/>
        <rFont val="Calibri"/>
        <family val="2"/>
        <scheme val="minor"/>
      </rPr>
      <t>3</t>
    </r>
    <r>
      <rPr>
        <sz val="12"/>
        <color theme="1"/>
        <rFont val="Calibri"/>
        <family val="2"/>
        <scheme val="minor"/>
      </rPr>
      <t>/NH</t>
    </r>
    <r>
      <rPr>
        <vertAlign val="subscript"/>
        <sz val="12"/>
        <color theme="1"/>
        <rFont val="Calibri"/>
        <family val="2"/>
        <scheme val="minor"/>
      </rPr>
      <t>4</t>
    </r>
    <r>
      <rPr>
        <vertAlign val="superscript"/>
        <sz val="12"/>
        <color theme="1"/>
        <rFont val="Calibri"/>
        <family val="2"/>
        <scheme val="minor"/>
      </rPr>
      <t>+</t>
    </r>
    <r>
      <rPr>
        <sz val="12"/>
        <color theme="1"/>
        <rFont val="Calibri"/>
        <family val="2"/>
        <scheme val="minor"/>
      </rPr>
      <t>-kväve (g/L)</t>
    </r>
  </si>
  <si>
    <t>Lagringstemperatur (°C)</t>
  </si>
  <si>
    <r>
      <t>NH</t>
    </r>
    <r>
      <rPr>
        <vertAlign val="subscript"/>
        <sz val="12"/>
        <color theme="1"/>
        <rFont val="Calibri"/>
        <family val="2"/>
        <scheme val="minor"/>
      </rPr>
      <t>3</t>
    </r>
    <r>
      <rPr>
        <sz val="12"/>
        <color theme="1"/>
        <rFont val="Calibri"/>
        <family val="2"/>
        <scheme val="minor"/>
      </rPr>
      <t xml:space="preserve"> (%)</t>
    </r>
  </si>
  <si>
    <r>
      <t>NH</t>
    </r>
    <r>
      <rPr>
        <vertAlign val="subscript"/>
        <sz val="12"/>
        <color theme="1"/>
        <rFont val="Calibri"/>
        <family val="2"/>
        <scheme val="minor"/>
      </rPr>
      <t>3</t>
    </r>
    <r>
      <rPr>
        <sz val="12"/>
        <color theme="1"/>
        <rFont val="Calibri"/>
        <family val="2"/>
        <scheme val="minor"/>
      </rPr>
      <t xml:space="preserve"> (g/L)</t>
    </r>
  </si>
  <si>
    <t>temp</t>
  </si>
  <si>
    <t>dagar till nedbrytning</t>
  </si>
  <si>
    <r>
      <t>NH</t>
    </r>
    <r>
      <rPr>
        <vertAlign val="subscript"/>
        <sz val="12"/>
        <color theme="1"/>
        <rFont val="Calibri"/>
        <family val="2"/>
        <scheme val="minor"/>
      </rPr>
      <t>3</t>
    </r>
    <r>
      <rPr>
        <sz val="12"/>
        <color theme="1"/>
        <rFont val="Calibri"/>
        <family val="2"/>
        <scheme val="minor"/>
      </rPr>
      <t xml:space="preserve"> (mM)</t>
    </r>
  </si>
  <si>
    <t>månad</t>
  </si>
  <si>
    <t>april-juni</t>
  </si>
  <si>
    <t>juli-september</t>
  </si>
  <si>
    <r>
      <t xml:space="preserve">Modellen för inaktivering av </t>
    </r>
    <r>
      <rPr>
        <i/>
        <sz val="11"/>
        <color theme="1"/>
        <rFont val="Calibri"/>
        <family val="2"/>
        <scheme val="minor"/>
      </rPr>
      <t>E. coli</t>
    </r>
    <r>
      <rPr>
        <sz val="11"/>
        <color theme="1"/>
        <rFont val="Calibri"/>
        <family val="2"/>
        <scheme val="minor"/>
      </rPr>
      <t xml:space="preserve"> beroende på NH</t>
    </r>
    <r>
      <rPr>
        <vertAlign val="subscript"/>
        <sz val="11"/>
        <color theme="1"/>
        <rFont val="Calibri"/>
        <family val="2"/>
        <scheme val="minor"/>
      </rPr>
      <t>3</t>
    </r>
    <r>
      <rPr>
        <sz val="11"/>
        <color theme="1"/>
        <rFont val="Calibri"/>
        <family val="2"/>
        <scheme val="minor"/>
      </rPr>
      <t xml:space="preserve">-koncentration och temperatur (Nordin 2010) kan användas för både salmonella och </t>
    </r>
    <r>
      <rPr>
        <i/>
        <sz val="11"/>
        <color theme="1"/>
        <rFont val="Calibri"/>
        <family val="2"/>
        <scheme val="minor"/>
      </rPr>
      <t>E. coli</t>
    </r>
    <r>
      <rPr>
        <sz val="11"/>
        <color theme="1"/>
        <rFont val="Calibri"/>
        <family val="2"/>
        <scheme val="minor"/>
      </rPr>
      <t xml:space="preserve"> inaktivering då dessa har visat sig ha liknande inaktivering vid ureabehandling.</t>
    </r>
  </si>
  <si>
    <t>välj område i rulllisten:</t>
  </si>
  <si>
    <t>Ange behandlingstid</t>
  </si>
  <si>
    <t>Ange datum för gödsling</t>
  </si>
  <si>
    <t>Batch 1</t>
  </si>
  <si>
    <t>Batch 2</t>
  </si>
  <si>
    <t>Kretsloppets årsväg</t>
  </si>
  <si>
    <t>vecka</t>
  </si>
  <si>
    <t>Gödsling ej tillåten</t>
  </si>
  <si>
    <t>Gödsling tillåten</t>
  </si>
  <si>
    <t>Insamling för 2026</t>
  </si>
  <si>
    <t>Färgkoder Nitratkänsliga områden</t>
  </si>
  <si>
    <t>IF((C$10&gt;$C$15)*AND(B$10&gt;=$C$15);"n";"")</t>
  </si>
  <si>
    <t>Gödsling tillåten med restriktioner</t>
  </si>
  <si>
    <t>mg Cd/kg g P</t>
  </si>
  <si>
    <t>Gränsvärde SPCR 178</t>
  </si>
  <si>
    <r>
      <t>NH</t>
    </r>
    <r>
      <rPr>
        <b/>
        <vertAlign val="subscript"/>
        <sz val="12"/>
        <color theme="1"/>
        <rFont val="Calibri"/>
        <family val="2"/>
        <scheme val="minor"/>
      </rPr>
      <t>3</t>
    </r>
    <r>
      <rPr>
        <b/>
        <sz val="12"/>
        <color theme="1"/>
        <rFont val="Calibri"/>
        <family val="2"/>
        <scheme val="minor"/>
      </rPr>
      <t>/NH</t>
    </r>
    <r>
      <rPr>
        <b/>
        <vertAlign val="subscript"/>
        <sz val="12"/>
        <color theme="1"/>
        <rFont val="Calibri"/>
        <family val="2"/>
        <scheme val="minor"/>
      </rPr>
      <t>4</t>
    </r>
    <r>
      <rPr>
        <b/>
        <vertAlign val="superscript"/>
        <sz val="12"/>
        <color theme="1"/>
        <rFont val="Calibri"/>
        <family val="2"/>
        <scheme val="minor"/>
      </rPr>
      <t>+</t>
    </r>
    <r>
      <rPr>
        <b/>
        <sz val="12"/>
        <color theme="1"/>
        <rFont val="Calibri"/>
        <family val="2"/>
        <scheme val="minor"/>
      </rPr>
      <t>-kväve (NH-N)</t>
    </r>
  </si>
  <si>
    <t>Obehandlat klosettvatten</t>
  </si>
  <si>
    <t>Behandlat klosettvatten</t>
  </si>
  <si>
    <t>Uppskattad spolvattenmängd</t>
  </si>
  <si>
    <t xml:space="preserve">TS basis </t>
  </si>
  <si>
    <t>(L/p·d)</t>
  </si>
  <si>
    <t xml:space="preserve">NH-N basis </t>
  </si>
  <si>
    <t>Här skriver du in behandlings- och analysvärden och anger enhet</t>
  </si>
  <si>
    <t>ej påvisad/per 25 g</t>
  </si>
  <si>
    <t>% av TS</t>
  </si>
  <si>
    <t>Detta verktyg hjälper dig att räkna om resultat från analyser till andra enheter än de i analyssvaret givna och ger referensintervall som visar interval som uppmätts i olika kretloppsanläggningar och du kan utifrån angiven ureados se om dina kvävehalter verkar stämma. Om dina värden avviker från referensintervallet kan det vara värt att fundera på varför, för metaller om det tex finns någon källa till förorening i anläggningen och för kvävehalterna om doseringen är felberäknad eller om förluster kan ha skett. I ett inledningsskede när en anläggning testkörs och vmetoden valideras hjälper analyser även av det obehandlade klosettvattnet till för förståelse av processen, tex om ökningen i kväveinnehåll motsvarar ureatillsatsen. På samma sätt krävs det startvärden för mikroorganismer om en skall påvisa en viss reduktion, vilket varit ett krav i SPCR 178.</t>
  </si>
  <si>
    <t>0/ 25 g</t>
  </si>
  <si>
    <t>cfu/100 g el ml</t>
  </si>
  <si>
    <t>cfu/g el ml</t>
  </si>
  <si>
    <t>0/10 ml</t>
  </si>
  <si>
    <t>0,28-0,70*</t>
  </si>
  <si>
    <t>0,25-0,54*</t>
  </si>
  <si>
    <t>*obeh</t>
  </si>
  <si>
    <r>
      <t>•</t>
    </r>
    <r>
      <rPr>
        <sz val="10"/>
        <color rgb="FF000000"/>
        <rFont val="Arial"/>
        <family val="2"/>
      </rPr>
      <t>Matcha processen (fyllning &amp; hygienisering med lantbruket)</t>
    </r>
  </si>
  <si>
    <r>
      <t>–</t>
    </r>
    <r>
      <rPr>
        <sz val="10"/>
        <color rgb="FF000000"/>
        <rFont val="Arial"/>
        <family val="2"/>
      </rPr>
      <t>Höst- eller vårgödsling</t>
    </r>
  </si>
  <si>
    <r>
      <t>–</t>
    </r>
    <r>
      <rPr>
        <sz val="10"/>
        <color rgb="FF000000"/>
        <rFont val="Arial"/>
        <family val="2"/>
      </rPr>
      <t>1 eller 2 gödslingar per säsong</t>
    </r>
  </si>
  <si>
    <r>
      <t>–</t>
    </r>
    <r>
      <rPr>
        <sz val="10"/>
        <color rgb="FF000000"/>
        <rFont val="Arial"/>
        <family val="2"/>
      </rPr>
      <t>På bete, vall &amp; grödor som konsumeras råa 10 månaders karens (</t>
    </r>
    <r>
      <rPr>
        <i/>
        <sz val="10"/>
        <color rgb="FF000000"/>
        <rFont val="Arial"/>
        <family val="2"/>
      </rPr>
      <t>SNFS 1994:2</t>
    </r>
    <r>
      <rPr>
        <sz val="10"/>
        <color rgb="FF000000"/>
        <rFont val="Arial"/>
        <family val="2"/>
      </rPr>
      <t>)</t>
    </r>
  </si>
  <si>
    <r>
      <t>–</t>
    </r>
    <r>
      <rPr>
        <sz val="10"/>
        <color rgb="FF000000"/>
        <rFont val="Arial"/>
        <family val="2"/>
      </rPr>
      <t>Tid för analyssvar (ca 1v)</t>
    </r>
  </si>
  <si>
    <r>
      <t>–</t>
    </r>
    <r>
      <rPr>
        <sz val="10"/>
        <color rgb="FF000000"/>
        <rFont val="Arial"/>
        <family val="2"/>
      </rPr>
      <t xml:space="preserve">(Spridning inom 10 veckor från provtagning – </t>
    </r>
    <r>
      <rPr>
        <i/>
        <sz val="10"/>
        <color rgb="FF000000"/>
        <rFont val="Arial"/>
        <family val="2"/>
      </rPr>
      <t>certifiering</t>
    </r>
    <r>
      <rPr>
        <sz val="10"/>
        <color rgb="FF000000"/>
        <rFont val="Arial"/>
        <family val="2"/>
      </rPr>
      <t>)</t>
    </r>
  </si>
  <si>
    <r>
      <t>Månad</t>
    </r>
    <r>
      <rPr>
        <i/>
        <sz val="10"/>
        <rFont val="Calibri"/>
        <family val="2"/>
        <scheme val="minor"/>
      </rPr>
      <t xml:space="preserve"> (välj i rullist)</t>
    </r>
  </si>
  <si>
    <t>Behandling batch 2</t>
  </si>
  <si>
    <t>Antal säckar (à 750 kg)</t>
  </si>
  <si>
    <t>Tiden för behandling inkluderar en inital fas då urea bryts ned till ammoniak under vilken tid liten avdödning sker.</t>
  </si>
  <si>
    <t>baserad på månad om inte värde anges</t>
  </si>
  <si>
    <t>myllas med inom 12h</t>
  </si>
  <si>
    <r>
      <t xml:space="preserve">bara sprida i växande gröda eller inför höstsådd av oljeväxter. Om lerhalten </t>
    </r>
    <r>
      <rPr>
        <sz val="11"/>
        <color theme="1"/>
        <rFont val="Calibri"/>
        <family val="2"/>
      </rPr>
      <t>&gt;</t>
    </r>
    <r>
      <rPr>
        <sz val="11"/>
        <color theme="1"/>
        <rFont val="Calibri"/>
        <family val="2"/>
        <scheme val="minor"/>
      </rPr>
      <t>15% andra andra höstsådda grödor (för övervintring).</t>
    </r>
  </si>
  <si>
    <t>bara sprida i växande gröda eller inför höstsådd (för övervintring).</t>
  </si>
  <si>
    <t>Nitratkänsligt område</t>
  </si>
  <si>
    <t>Nitratkänsligt. S, B &amp;H</t>
  </si>
  <si>
    <t>Ej nitratkänsligt omr</t>
  </si>
  <si>
    <t>Kväveinnehåll motsvarar ureatillsats till</t>
  </si>
  <si>
    <t>januari</t>
  </si>
  <si>
    <t>februari</t>
  </si>
  <si>
    <t>mars</t>
  </si>
  <si>
    <t>april</t>
  </si>
  <si>
    <t>maj</t>
  </si>
  <si>
    <t>juni</t>
  </si>
  <si>
    <t>juli</t>
  </si>
  <si>
    <t>augusti</t>
  </si>
  <si>
    <t>september</t>
  </si>
  <si>
    <t>oktober</t>
  </si>
  <si>
    <t>november</t>
  </si>
  <si>
    <t>december</t>
  </si>
  <si>
    <t>Detta verktyg utvecklades inom projekt (Projnr: JTI-21-83-613) finansierat av JTI-Stiftelsen under tema Cirkularitet/restströmmar.</t>
  </si>
  <si>
    <t>Allowed values</t>
  </si>
  <si>
    <t>Gödselvärde urea-behandlat klosettvatten</t>
  </si>
  <si>
    <t>for diagram</t>
  </si>
  <si>
    <t xml:space="preserve">Med det här verktyget uppskattas utifrån angiven ureadosering och torrsubstanshalt i klosettvattnet vilken koncentration av näringsämnen det behandlade klosettvattnet kommer att hålla. När klosettvatten behandlas med urea kommer kvävet vara det näringsämne som styr givan vilket begränsar av ammoniak-kvävet i klosettvattnet. Utifrån kvävebehovet uppskattas hur stor areal som krävs för gödsling med det behandlade klosettvattnet och hur mycket av andra näringsämnen som tillförs via klosettvattnet. För flera metaller finns gränsvärden för innehåll (SFS 1998:944) och hur mycket som maximalt får tillföras odlingsmarken per hektar och år (SNFS 1994:2). Bidraget till näring och metaller from klosettvattnet är baserat på svenska designvärden för toalettavfall (Jönsson mfl. 2005) och används som en faktor relaterat till uppmätt eller antagen torrsubstanshalt. Dessa uppskattningar är tänkta att underlätta planering av ett system för kretslopp från klosettvatten. Om du saknar data behåll givna startvärden som är satta att vara rimliga för klosettvatten insamlat i Sverige med snålspolande toaletter. Inför gödsling skall halter av kväve, fosfor och metallerna nedan analyseras i det aktuella klosettvattnet enligt SNFS 1998:944. </t>
  </si>
  <si>
    <t>preferably this order up to down as same in legislation</t>
  </si>
  <si>
    <r>
      <t>NH</t>
    </r>
    <r>
      <rPr>
        <b/>
        <vertAlign val="subscript"/>
        <sz val="12"/>
        <color theme="1"/>
        <rFont val="Calibri"/>
        <family val="2"/>
        <scheme val="minor"/>
      </rPr>
      <t>3</t>
    </r>
    <r>
      <rPr>
        <b/>
        <sz val="12"/>
        <color theme="1"/>
        <rFont val="Calibri"/>
        <family val="2"/>
        <scheme val="minor"/>
      </rPr>
      <t>/NH</t>
    </r>
    <r>
      <rPr>
        <b/>
        <vertAlign val="subscript"/>
        <sz val="12"/>
        <color theme="1"/>
        <rFont val="Calibri"/>
        <family val="2"/>
        <scheme val="minor"/>
      </rPr>
      <t>4</t>
    </r>
    <r>
      <rPr>
        <b/>
        <vertAlign val="superscript"/>
        <sz val="12"/>
        <color theme="1"/>
        <rFont val="Calibri"/>
        <family val="2"/>
        <scheme val="minor"/>
      </rPr>
      <t>+</t>
    </r>
    <r>
      <rPr>
        <b/>
        <sz val="12"/>
        <color theme="1"/>
        <rFont val="Calibri"/>
        <family val="2"/>
        <scheme val="minor"/>
      </rPr>
      <t>-kväve*</t>
    </r>
  </si>
  <si>
    <r>
      <t>Med detta verktyg beräknas tiden det tar att uppnå en 5-log</t>
    </r>
    <r>
      <rPr>
        <vertAlign val="subscript"/>
        <sz val="14"/>
        <color theme="1"/>
        <rFont val="Calibri"/>
        <family val="2"/>
        <scheme val="minor"/>
      </rPr>
      <t>10</t>
    </r>
    <r>
      <rPr>
        <sz val="14"/>
        <color theme="1"/>
        <rFont val="Calibri"/>
        <family val="2"/>
        <scheme val="minor"/>
      </rPr>
      <t xml:space="preserve"> reduktion av </t>
    </r>
    <r>
      <rPr>
        <i/>
        <sz val="14"/>
        <color theme="1"/>
        <rFont val="Calibri"/>
        <family val="2"/>
        <scheme val="minor"/>
      </rPr>
      <t>Escherichia coli</t>
    </r>
    <r>
      <rPr>
        <sz val="14"/>
        <color theme="1"/>
        <rFont val="Calibri"/>
        <family val="2"/>
        <scheme val="minor"/>
      </rPr>
      <t xml:space="preserve"> baserat på ureados och temperatur i behandlingsbrunnen/reaktorn. </t>
    </r>
    <r>
      <rPr>
        <i/>
        <sz val="14"/>
        <color theme="1"/>
        <rFont val="Calibri"/>
        <family val="2"/>
        <scheme val="minor"/>
      </rPr>
      <t>E. coli</t>
    </r>
    <r>
      <rPr>
        <sz val="14"/>
        <color theme="1"/>
        <rFont val="Calibri"/>
        <family val="2"/>
        <scheme val="minor"/>
      </rPr>
      <t xml:space="preserve"> är en mag-tarm bakterie som alltid förekommer i klosettvatten och inaktiveringen av denna är ett bra mått på inaktiveringen av bakteriella smittämnen. En 5-log</t>
    </r>
    <r>
      <rPr>
        <vertAlign val="subscript"/>
        <sz val="14"/>
        <color theme="1"/>
        <rFont val="Calibri"/>
        <family val="2"/>
        <scheme val="minor"/>
      </rPr>
      <t xml:space="preserve">10 </t>
    </r>
    <r>
      <rPr>
        <sz val="14"/>
        <color theme="1"/>
        <rFont val="Calibri"/>
        <family val="2"/>
        <scheme val="minor"/>
      </rPr>
      <t xml:space="preserve">reduktion innebär att bakterien inaktiverats med 99,999%. Vid en sådan inaktivering av </t>
    </r>
    <r>
      <rPr>
        <i/>
        <sz val="14"/>
        <color theme="1"/>
        <rFont val="Calibri"/>
        <family val="2"/>
        <scheme val="minor"/>
      </rPr>
      <t>E.coli</t>
    </r>
    <r>
      <rPr>
        <sz val="14"/>
        <color theme="1"/>
        <rFont val="Calibri"/>
        <family val="2"/>
        <scheme val="minor"/>
      </rPr>
      <t xml:space="preserve"> bör klosettvattnet vara fritt från salmonella vilken förekommer i mycket lägre startkoncentrationer, om den förekommer. Saknar du startvärden kan du ange månad i rulllist och få en förväntad minimitemperatur i brunnen. Tid för nedbrytning av urea är inkluderad i behandingstiden och baseras på angiven temperatur och förutsätter omblandning.  Detta är uppskattningar som kan hjälpa till vid planering av ett kretsloppssystem. Inför gödsling bör innehållet av </t>
    </r>
    <r>
      <rPr>
        <i/>
        <sz val="14"/>
        <color theme="1"/>
        <rFont val="Calibri"/>
        <family val="2"/>
        <scheme val="minor"/>
      </rPr>
      <t>E. coli</t>
    </r>
    <r>
      <rPr>
        <sz val="14"/>
        <color theme="1"/>
        <rFont val="Calibri"/>
        <family val="2"/>
        <scheme val="minor"/>
      </rPr>
      <t xml:space="preserve"> och salmonella analyseras.</t>
    </r>
  </si>
  <si>
    <r>
      <t>Klosettvattenvolym (m</t>
    </r>
    <r>
      <rPr>
        <b/>
        <vertAlign val="superscript"/>
        <sz val="12"/>
        <color theme="1"/>
        <rFont val="Calibri"/>
        <family val="2"/>
        <scheme val="minor"/>
      </rPr>
      <t>3</t>
    </r>
    <r>
      <rPr>
        <b/>
        <sz val="12"/>
        <color theme="1"/>
        <rFont val="Calibri"/>
        <family val="2"/>
        <scheme val="minor"/>
      </rPr>
      <t>)</t>
    </r>
  </si>
  <si>
    <t>pH efter ureatillsats</t>
  </si>
  <si>
    <t>Detta verktyg utvecklades inom projekt JTI-21-83-613 finansierat av JTI-Stiftelsen under tema Cirkularitet/restströmmar.</t>
  </si>
  <si>
    <t xml:space="preserve"> g nutrient per g TAN</t>
  </si>
  <si>
    <t>g TS per g TAN</t>
  </si>
  <si>
    <t>Näringsvärde ureabehandlat klosettvatten</t>
  </si>
  <si>
    <t>metal factor (mg/g TAN)</t>
  </si>
  <si>
    <t xml:space="preserve">Tillförsel av metaller till mark vid gödsling som andel (%) av tillåten maxtillförsel (g/ha år) enligt SNFS 1994:2 </t>
  </si>
  <si>
    <t>NH3/NH4+-kväve (g/L)</t>
  </si>
  <si>
    <t>Tillåten maxtillförsel (g/ ha år)</t>
  </si>
  <si>
    <r>
      <t>Tid för 5-log</t>
    </r>
    <r>
      <rPr>
        <vertAlign val="subscript"/>
        <sz val="12"/>
        <color theme="1"/>
        <rFont val="Calibri"/>
        <family val="2"/>
        <scheme val="minor"/>
      </rPr>
      <t>10</t>
    </r>
    <r>
      <rPr>
        <sz val="12"/>
        <color theme="1"/>
        <rFont val="Calibri"/>
        <family val="2"/>
        <scheme val="minor"/>
      </rPr>
      <t xml:space="preserve"> reduktion av </t>
    </r>
    <r>
      <rPr>
        <i/>
        <sz val="12"/>
        <color theme="1"/>
        <rFont val="Calibri"/>
        <family val="2"/>
        <scheme val="minor"/>
      </rPr>
      <t>E. coli</t>
    </r>
  </si>
  <si>
    <t>dagar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</si>
</sst>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41D]d\ mmmm\ yyyy;@"/>
    <numFmt numFmtId="165" formatCode="[$-41D]mmmm;@"/>
    <numFmt numFmtId="166" formatCode="0.000"/>
    <numFmt numFmtId="167" formatCode="0.0"/>
    <numFmt numFmtId="168" formatCode="0.000%"/>
    <numFmt numFmtId="169" formatCode="0.000000"/>
    <numFmt numFmtId="170" formatCode="[$-41D]d\ mmm;@"/>
    <numFmt numFmtId="171" formatCode="0.00000"/>
    <numFmt numFmtId="172" formatCode="0.0000000"/>
    <numFmt numFmtId="173" formatCode="0.0000"/>
    <numFmt numFmtId="174" formatCode="0.0%"/>
  </numFmts>
  <fonts count="78" x14ac:knownFonts="1">
    <font>
      <sz val="11"/>
      <color theme="1"/>
      <name val="Calibri"/>
      <family val="2"/>
      <scheme val="minor"/>
    </font>
    <font>
      <sz val="11"/>
      <color rgb="FF9C0006"/>
      <name val="Calibri"/>
      <family val="2"/>
      <scheme val="minor"/>
    </font>
    <font>
      <sz val="11"/>
      <color rgb="FF9C6500"/>
      <name val="Calibri"/>
      <family val="2"/>
      <scheme val="minor"/>
    </font>
    <font>
      <b/>
      <sz val="11"/>
      <color theme="1"/>
      <name val="Calibri"/>
      <family val="2"/>
      <scheme val="minor"/>
    </font>
    <font>
      <sz val="9"/>
      <color theme="1"/>
      <name val="Calibri"/>
      <family val="2"/>
      <scheme val="minor"/>
    </font>
    <font>
      <sz val="2"/>
      <color theme="1"/>
      <name val="Calibri"/>
      <family val="2"/>
      <scheme val="minor"/>
    </font>
    <font>
      <sz val="11"/>
      <color theme="1"/>
      <name val="Calibri"/>
      <family val="2"/>
    </font>
    <font>
      <b/>
      <sz val="10"/>
      <color theme="1"/>
      <name val="Calibri"/>
      <family val="2"/>
      <scheme val="minor"/>
    </font>
    <font>
      <b/>
      <sz val="10"/>
      <name val="Calibri"/>
      <family val="2"/>
      <scheme val="minor"/>
    </font>
    <font>
      <sz val="11"/>
      <color rgb="FFFF0000"/>
      <name val="Calibri"/>
      <family val="2"/>
      <scheme val="minor"/>
    </font>
    <font>
      <b/>
      <sz val="26"/>
      <color theme="1"/>
      <name val="Calibri"/>
      <family val="2"/>
      <scheme val="minor"/>
    </font>
    <font>
      <sz val="26"/>
      <color theme="1"/>
      <name val="Calibri"/>
      <family val="2"/>
      <scheme val="minor"/>
    </font>
    <font>
      <b/>
      <sz val="14"/>
      <color theme="1"/>
      <name val="Calibri"/>
      <family val="2"/>
      <scheme val="minor"/>
    </font>
    <font>
      <b/>
      <sz val="18"/>
      <color theme="1"/>
      <name val="Calibri"/>
      <family val="2"/>
      <scheme val="minor"/>
    </font>
    <font>
      <b/>
      <sz val="12"/>
      <color theme="1"/>
      <name val="Calibri"/>
      <family val="2"/>
      <scheme val="minor"/>
    </font>
    <font>
      <sz val="12"/>
      <color theme="1"/>
      <name val="Calibri"/>
      <family val="2"/>
      <scheme val="minor"/>
    </font>
    <font>
      <b/>
      <sz val="11"/>
      <color theme="0" tint="-0.499984740745262"/>
      <name val="Calibri"/>
      <family val="2"/>
      <scheme val="minor"/>
    </font>
    <font>
      <b/>
      <sz val="16"/>
      <color theme="1"/>
      <name val="Arial Black"/>
      <family val="2"/>
    </font>
    <font>
      <sz val="16"/>
      <color theme="1"/>
      <name val="Calibri"/>
      <family val="2"/>
      <scheme val="minor"/>
    </font>
    <font>
      <sz val="11"/>
      <color theme="0" tint="-0.499984740745262"/>
      <name val="Calibri"/>
      <family val="2"/>
      <scheme val="minor"/>
    </font>
    <font>
      <sz val="14"/>
      <color theme="1"/>
      <name val="Calibri"/>
      <family val="2"/>
      <scheme val="minor"/>
    </font>
    <font>
      <i/>
      <sz val="11"/>
      <color theme="1"/>
      <name val="Calibri"/>
      <family val="2"/>
      <scheme val="minor"/>
    </font>
    <font>
      <sz val="11"/>
      <color rgb="FFC00000"/>
      <name val="Calibri"/>
      <family val="2"/>
      <scheme val="minor"/>
    </font>
    <font>
      <sz val="10"/>
      <name val="Arial"/>
      <family val="2"/>
    </font>
    <font>
      <sz val="8"/>
      <color rgb="FFC00000"/>
      <name val="Calibri"/>
      <family val="2"/>
      <scheme val="minor"/>
    </font>
    <font>
      <b/>
      <sz val="11"/>
      <name val="Calibri"/>
      <family val="2"/>
      <scheme val="minor"/>
    </font>
    <font>
      <sz val="11"/>
      <name val="Calibri"/>
      <family val="2"/>
      <scheme val="minor"/>
    </font>
    <font>
      <sz val="12"/>
      <name val="Calibri"/>
      <family val="2"/>
      <scheme val="minor"/>
    </font>
    <font>
      <b/>
      <vertAlign val="superscript"/>
      <sz val="12"/>
      <color theme="1"/>
      <name val="Calibri"/>
      <family val="2"/>
      <scheme val="minor"/>
    </font>
    <font>
      <b/>
      <sz val="12"/>
      <name val="Calibri"/>
      <family val="2"/>
      <scheme val="minor"/>
    </font>
    <font>
      <sz val="10"/>
      <name val="Calibri"/>
      <family val="2"/>
      <scheme val="minor"/>
    </font>
    <font>
      <sz val="10"/>
      <color theme="1"/>
      <name val="Calibri"/>
      <family val="2"/>
      <scheme val="minor"/>
    </font>
    <font>
      <b/>
      <sz val="11"/>
      <color theme="0" tint="-0.34998626667073579"/>
      <name val="Calibri"/>
      <family val="2"/>
      <scheme val="minor"/>
    </font>
    <font>
      <sz val="11"/>
      <color theme="0" tint="-0.34998626667073579"/>
      <name val="Calibri"/>
      <family val="2"/>
      <scheme val="minor"/>
    </font>
    <font>
      <b/>
      <vertAlign val="subscript"/>
      <sz val="12"/>
      <color theme="1"/>
      <name val="Calibri"/>
      <family val="2"/>
      <scheme val="minor"/>
    </font>
    <font>
      <b/>
      <vertAlign val="subscript"/>
      <sz val="14"/>
      <color theme="1"/>
      <name val="Calibri"/>
      <family val="2"/>
      <scheme val="minor"/>
    </font>
    <font>
      <b/>
      <i/>
      <sz val="14"/>
      <color theme="1"/>
      <name val="Calibri"/>
      <family val="2"/>
      <scheme val="minor"/>
    </font>
    <font>
      <sz val="11"/>
      <color rgb="FF7030A0"/>
      <name val="Calibri"/>
      <family val="2"/>
      <scheme val="minor"/>
    </font>
    <font>
      <vertAlign val="subscript"/>
      <sz val="12"/>
      <color theme="1"/>
      <name val="Calibri"/>
      <family val="2"/>
      <scheme val="minor"/>
    </font>
    <font>
      <sz val="10"/>
      <name val="Calibri"/>
      <family val="2"/>
    </font>
    <font>
      <sz val="10"/>
      <color rgb="FFC00000"/>
      <name val="Calibri"/>
      <family val="2"/>
      <scheme val="minor"/>
    </font>
    <font>
      <i/>
      <sz val="10"/>
      <name val="Calibri"/>
      <family val="2"/>
      <scheme val="minor"/>
    </font>
    <font>
      <sz val="9"/>
      <name val="Calibri"/>
      <family val="2"/>
      <scheme val="minor"/>
    </font>
    <font>
      <sz val="9"/>
      <color rgb="FFFF0000"/>
      <name val="Calibri"/>
      <family val="2"/>
      <scheme val="minor"/>
    </font>
    <font>
      <b/>
      <sz val="8"/>
      <color rgb="FF000000"/>
      <name val="Arial"/>
      <family val="2"/>
    </font>
    <font>
      <sz val="9"/>
      <color rgb="FF000000"/>
      <name val="Arial"/>
      <family val="2"/>
    </font>
    <font>
      <sz val="8"/>
      <color rgb="FF000000"/>
      <name val="Arial"/>
      <family val="2"/>
    </font>
    <font>
      <sz val="8"/>
      <color theme="1"/>
      <name val="Calibri"/>
      <family val="2"/>
      <scheme val="minor"/>
    </font>
    <font>
      <u/>
      <sz val="8"/>
      <color theme="1"/>
      <name val="Calibri"/>
      <family val="2"/>
      <scheme val="minor"/>
    </font>
    <font>
      <b/>
      <u/>
      <sz val="8"/>
      <color theme="1"/>
      <name val="Calibri"/>
      <family val="2"/>
      <scheme val="minor"/>
    </font>
    <font>
      <sz val="8"/>
      <color rgb="FFFF0000"/>
      <name val="Arial"/>
      <family val="2"/>
    </font>
    <font>
      <b/>
      <sz val="9"/>
      <color indexed="81"/>
      <name val="Tahoma"/>
      <family val="2"/>
    </font>
    <font>
      <sz val="9"/>
      <color indexed="81"/>
      <name val="Tahoma"/>
      <family val="2"/>
    </font>
    <font>
      <i/>
      <sz val="12"/>
      <color theme="1"/>
      <name val="Calibri"/>
      <family val="2"/>
      <scheme val="minor"/>
    </font>
    <font>
      <sz val="9"/>
      <color theme="0" tint="-0.34998626667073579"/>
      <name val="Calibri"/>
      <family val="2"/>
      <scheme val="minor"/>
    </font>
    <font>
      <i/>
      <sz val="10"/>
      <color theme="1"/>
      <name val="Calibri"/>
      <family val="2"/>
      <scheme val="minor"/>
    </font>
    <font>
      <sz val="9"/>
      <name val="Times New Roman"/>
      <family val="1"/>
    </font>
    <font>
      <sz val="12"/>
      <name val="Times New Roman"/>
      <family val="1"/>
    </font>
    <font>
      <sz val="9"/>
      <color theme="0" tint="-0.34998626667073579"/>
      <name val="Times New Roman"/>
      <family val="1"/>
    </font>
    <font>
      <b/>
      <sz val="14"/>
      <name val="Calibri"/>
      <family val="2"/>
      <scheme val="minor"/>
    </font>
    <font>
      <vertAlign val="subscript"/>
      <sz val="14"/>
      <color theme="1"/>
      <name val="Calibri"/>
      <family val="2"/>
      <scheme val="minor"/>
    </font>
    <font>
      <i/>
      <sz val="14"/>
      <color theme="1"/>
      <name val="Calibri"/>
      <family val="2"/>
      <scheme val="minor"/>
    </font>
    <font>
      <sz val="11"/>
      <color theme="0" tint="-0.249977111117893"/>
      <name val="Calibri"/>
      <family val="2"/>
      <scheme val="minor"/>
    </font>
    <font>
      <vertAlign val="superscript"/>
      <sz val="12"/>
      <color theme="1"/>
      <name val="Calibri"/>
      <family val="2"/>
      <scheme val="minor"/>
    </font>
    <font>
      <sz val="9"/>
      <color rgb="FF595959"/>
      <name val="Calibri"/>
      <family val="2"/>
      <scheme val="minor"/>
    </font>
    <font>
      <vertAlign val="subscript"/>
      <sz val="11"/>
      <color theme="1"/>
      <name val="Calibri"/>
      <family val="2"/>
      <scheme val="minor"/>
    </font>
    <font>
      <sz val="14"/>
      <color theme="9" tint="-0.249977111117893"/>
      <name val="Calibri"/>
      <family val="2"/>
      <scheme val="minor"/>
    </font>
    <font>
      <b/>
      <sz val="11"/>
      <color theme="9" tint="-0.249977111117893"/>
      <name val="Calibri"/>
      <family val="2"/>
      <scheme val="minor"/>
    </font>
    <font>
      <sz val="11"/>
      <color theme="9" tint="-0.249977111117893"/>
      <name val="Calibri"/>
      <family val="2"/>
      <scheme val="minor"/>
    </font>
    <font>
      <sz val="11"/>
      <color theme="1"/>
      <name val="Calibri"/>
      <scheme val="minor"/>
    </font>
    <font>
      <sz val="10"/>
      <color theme="1"/>
      <name val="Arial"/>
      <family val="2"/>
    </font>
    <font>
      <sz val="10"/>
      <color rgb="FF000000"/>
      <name val="Arial"/>
      <family val="2"/>
    </font>
    <font>
      <i/>
      <sz val="10"/>
      <color rgb="FF000000"/>
      <name val="Arial"/>
      <family val="2"/>
    </font>
    <font>
      <sz val="14"/>
      <color rgb="FF000000"/>
      <name val="Calibri"/>
      <family val="2"/>
      <scheme val="minor"/>
    </font>
    <font>
      <i/>
      <sz val="9.5"/>
      <name val="Calibri"/>
      <family val="2"/>
      <scheme val="minor"/>
    </font>
    <font>
      <sz val="9"/>
      <color rgb="FFC00000"/>
      <name val="Calibri"/>
      <family val="2"/>
      <scheme val="minor"/>
    </font>
    <font>
      <i/>
      <sz val="11"/>
      <color theme="0" tint="-0.499984740745262"/>
      <name val="Calibri"/>
      <family val="2"/>
      <scheme val="minor"/>
    </font>
    <font>
      <sz val="11"/>
      <color theme="0" tint="-0.499984740745262"/>
      <name val="Times New Roman"/>
      <family val="1"/>
    </font>
  </fonts>
  <fills count="19">
    <fill>
      <patternFill patternType="none"/>
    </fill>
    <fill>
      <patternFill patternType="gray125"/>
    </fill>
    <fill>
      <patternFill patternType="solid">
        <fgColor rgb="FFFFC7CE"/>
      </patternFill>
    </fill>
    <fill>
      <patternFill patternType="solid">
        <fgColor rgb="FFFFEB9C"/>
      </patternFill>
    </fill>
    <fill>
      <patternFill patternType="solid">
        <fgColor theme="6"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CC9900"/>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79998168889431442"/>
        <bgColor indexed="64"/>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bottom style="thin">
        <color indexed="64"/>
      </bottom>
      <diagonal/>
    </border>
    <border>
      <left/>
      <right/>
      <top/>
      <bottom style="medium">
        <color indexed="64"/>
      </bottom>
      <diagonal/>
    </border>
    <border>
      <left/>
      <right/>
      <top/>
      <bottom style="double">
        <color indexed="64"/>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right/>
      <top/>
      <bottom style="thin">
        <color theme="0" tint="-0.34998626667073579"/>
      </bottom>
      <diagonal/>
    </border>
    <border>
      <left style="thin">
        <color theme="0" tint="-0.34998626667073579"/>
      </left>
      <right/>
      <top/>
      <bottom style="thin">
        <color theme="0" tint="-0.34998626667073579"/>
      </bottom>
      <diagonal/>
    </border>
    <border>
      <left style="thin">
        <color indexed="64"/>
      </left>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top style="thin">
        <color theme="0" tint="-0.34998626667073579"/>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23" fillId="0" borderId="0"/>
  </cellStyleXfs>
  <cellXfs count="513">
    <xf numFmtId="0" fontId="0" fillId="0" borderId="0" xfId="0"/>
    <xf numFmtId="0" fontId="4" fillId="0" borderId="0" xfId="0" applyFont="1"/>
    <xf numFmtId="0" fontId="0" fillId="4" borderId="0" xfId="0" applyFill="1"/>
    <xf numFmtId="0" fontId="0" fillId="0" borderId="0" xfId="0" applyAlignment="1">
      <alignment horizontal="center"/>
    </xf>
    <xf numFmtId="0" fontId="1" fillId="2" borderId="0" xfId="1" applyAlignment="1">
      <alignment horizontal="center"/>
    </xf>
    <xf numFmtId="0" fontId="2" fillId="3" borderId="0" xfId="2" applyAlignment="1">
      <alignment horizontal="center"/>
    </xf>
    <xf numFmtId="0" fontId="0" fillId="0" borderId="0" xfId="0" applyFill="1" applyBorder="1"/>
    <xf numFmtId="0" fontId="0" fillId="0" borderId="0" xfId="0" applyBorder="1"/>
    <xf numFmtId="0" fontId="0" fillId="6" borderId="0" xfId="0" applyFill="1"/>
    <xf numFmtId="0" fontId="10" fillId="6" borderId="0" xfId="0" applyFont="1" applyFill="1" applyAlignment="1">
      <alignment vertical="center"/>
    </xf>
    <xf numFmtId="0" fontId="11" fillId="6" borderId="0" xfId="0" applyFont="1" applyFill="1" applyAlignment="1">
      <alignment vertical="center"/>
    </xf>
    <xf numFmtId="0" fontId="12" fillId="6" borderId="0" xfId="0" applyFont="1" applyFill="1" applyAlignment="1">
      <alignment horizontal="center" vertical="center"/>
    </xf>
    <xf numFmtId="0" fontId="4" fillId="6" borderId="0" xfId="0" applyFont="1" applyFill="1"/>
    <xf numFmtId="0" fontId="13" fillId="6" borderId="0" xfId="0" applyFont="1" applyFill="1" applyAlignment="1">
      <alignment horizontal="left" vertical="center"/>
    </xf>
    <xf numFmtId="0" fontId="14" fillId="6" borderId="0" xfId="0" applyFont="1" applyFill="1" applyAlignment="1">
      <alignment horizontal="left" vertical="center" wrapText="1"/>
    </xf>
    <xf numFmtId="0" fontId="0" fillId="6" borderId="0" xfId="0" applyFill="1" applyBorder="1"/>
    <xf numFmtId="0" fontId="0" fillId="0" borderId="0" xfId="0" applyFill="1"/>
    <xf numFmtId="0" fontId="17" fillId="6" borderId="0" xfId="0" applyFont="1" applyFill="1"/>
    <xf numFmtId="0" fontId="18" fillId="6" borderId="0" xfId="0" applyFont="1" applyFill="1"/>
    <xf numFmtId="0" fontId="19" fillId="6" borderId="0" xfId="0" applyFont="1" applyFill="1"/>
    <xf numFmtId="0" fontId="20" fillId="6" borderId="0" xfId="0" applyFont="1" applyFill="1" applyAlignment="1">
      <alignment horizontal="left" vertical="top" wrapText="1"/>
    </xf>
    <xf numFmtId="0" fontId="20" fillId="6" borderId="0" xfId="0" applyFont="1" applyFill="1" applyAlignment="1"/>
    <xf numFmtId="0" fontId="20" fillId="0" borderId="0" xfId="0" applyFont="1" applyFill="1" applyAlignment="1"/>
    <xf numFmtId="0" fontId="0" fillId="0" borderId="0" xfId="0" applyAlignment="1">
      <alignment horizontal="center" vertical="center"/>
    </xf>
    <xf numFmtId="0" fontId="20" fillId="6" borderId="0" xfId="0" applyFont="1" applyFill="1" applyAlignment="1">
      <alignment horizontal="left" wrapText="1"/>
    </xf>
    <xf numFmtId="0" fontId="20" fillId="0" borderId="0" xfId="0" applyFont="1" applyFill="1" applyAlignment="1">
      <alignment horizontal="left" wrapText="1"/>
    </xf>
    <xf numFmtId="0" fontId="0" fillId="6" borderId="0" xfId="0" applyFill="1" applyAlignment="1">
      <alignment horizontal="center"/>
    </xf>
    <xf numFmtId="0" fontId="0" fillId="0" borderId="0" xfId="0" applyFill="1" applyAlignment="1">
      <alignment horizontal="center" vertical="center"/>
    </xf>
    <xf numFmtId="0" fontId="10" fillId="6" borderId="0" xfId="0" applyFont="1" applyFill="1"/>
    <xf numFmtId="0" fontId="11" fillId="6" borderId="0" xfId="0" applyFont="1" applyFill="1"/>
    <xf numFmtId="0" fontId="3" fillId="0" borderId="0" xfId="0" applyFont="1" applyFill="1"/>
    <xf numFmtId="0" fontId="22" fillId="6" borderId="0" xfId="0" applyFont="1" applyFill="1"/>
    <xf numFmtId="0" fontId="0" fillId="0" borderId="0" xfId="0" applyFill="1" applyAlignment="1">
      <alignment vertical="center"/>
    </xf>
    <xf numFmtId="0" fontId="14" fillId="6" borderId="0" xfId="0" applyFont="1" applyFill="1" applyAlignment="1">
      <alignment horizontal="center" wrapText="1"/>
    </xf>
    <xf numFmtId="0" fontId="0" fillId="6" borderId="0" xfId="0" applyFill="1" applyBorder="1" applyAlignment="1">
      <alignment horizontal="center" vertical="center"/>
    </xf>
    <xf numFmtId="0" fontId="0" fillId="0" borderId="0" xfId="0" applyFill="1" applyBorder="1" applyAlignment="1">
      <alignment horizontal="center" vertical="center"/>
    </xf>
    <xf numFmtId="2" fontId="3" fillId="0" borderId="0" xfId="0" applyNumberFormat="1" applyFont="1" applyFill="1" applyBorder="1" applyAlignment="1">
      <alignment vertical="center"/>
    </xf>
    <xf numFmtId="2" fontId="3" fillId="0" borderId="1" xfId="0" applyNumberFormat="1" applyFont="1" applyFill="1" applyBorder="1" applyAlignment="1">
      <alignment vertical="center"/>
    </xf>
    <xf numFmtId="2" fontId="3" fillId="0" borderId="6" xfId="0" applyNumberFormat="1" applyFont="1" applyFill="1" applyBorder="1" applyAlignment="1">
      <alignment vertical="center"/>
    </xf>
    <xf numFmtId="0" fontId="0" fillId="0" borderId="6" xfId="0" applyFill="1" applyBorder="1" applyAlignment="1">
      <alignment vertical="center"/>
    </xf>
    <xf numFmtId="14" fontId="0" fillId="0" borderId="6" xfId="0" applyNumberFormat="1" applyFill="1" applyBorder="1" applyAlignment="1">
      <alignment vertical="center"/>
    </xf>
    <xf numFmtId="0" fontId="0" fillId="0" borderId="6" xfId="0" applyFill="1" applyBorder="1" applyAlignment="1">
      <alignment horizontal="center" vertical="center"/>
    </xf>
    <xf numFmtId="0" fontId="0" fillId="0" borderId="2" xfId="0" applyFill="1" applyBorder="1" applyAlignment="1">
      <alignment vertical="center"/>
    </xf>
    <xf numFmtId="0" fontId="0" fillId="0" borderId="0" xfId="0" applyFont="1" applyFill="1"/>
    <xf numFmtId="0" fontId="0" fillId="6" borderId="14" xfId="0" applyFill="1" applyBorder="1"/>
    <xf numFmtId="0" fontId="0" fillId="6" borderId="15" xfId="0" applyFill="1" applyBorder="1"/>
    <xf numFmtId="0" fontId="0" fillId="6" borderId="0" xfId="0" applyFill="1" applyAlignment="1">
      <alignment vertical="center"/>
    </xf>
    <xf numFmtId="0" fontId="14" fillId="6" borderId="0" xfId="0" applyFont="1" applyFill="1" applyAlignment="1">
      <alignment horizontal="center" vertical="center" wrapText="1"/>
    </xf>
    <xf numFmtId="0" fontId="12" fillId="0" borderId="0" xfId="0" applyFont="1" applyFill="1" applyAlignment="1">
      <alignment horizontal="left"/>
    </xf>
    <xf numFmtId="0" fontId="25" fillId="0" borderId="0" xfId="0" applyFont="1" applyFill="1" applyBorder="1" applyAlignment="1">
      <alignment horizontal="center" wrapText="1"/>
    </xf>
    <xf numFmtId="0" fontId="25" fillId="0" borderId="3" xfId="0" applyFont="1" applyFill="1" applyBorder="1" applyAlignment="1">
      <alignment horizontal="center" wrapText="1"/>
    </xf>
    <xf numFmtId="14" fontId="0" fillId="0" borderId="0" xfId="0" applyNumberFormat="1" applyFill="1" applyBorder="1" applyAlignment="1">
      <alignment horizontal="center" vertical="center"/>
    </xf>
    <xf numFmtId="0" fontId="0" fillId="0" borderId="4" xfId="0" applyFill="1" applyBorder="1" applyAlignment="1">
      <alignment horizontal="center" vertical="center"/>
    </xf>
    <xf numFmtId="0" fontId="26" fillId="6" borderId="0" xfId="0" applyFont="1" applyFill="1" applyBorder="1"/>
    <xf numFmtId="0" fontId="27" fillId="6" borderId="9" xfId="0" applyFont="1" applyFill="1" applyBorder="1" applyAlignment="1">
      <alignment horizontal="left" vertical="center"/>
    </xf>
    <xf numFmtId="0" fontId="27" fillId="6" borderId="15" xfId="0" applyFont="1" applyFill="1" applyBorder="1" applyAlignment="1">
      <alignment horizontal="left" vertical="center"/>
    </xf>
    <xf numFmtId="0" fontId="21" fillId="6" borderId="0" xfId="0" applyFont="1" applyFill="1" applyAlignment="1">
      <alignment horizontal="center"/>
    </xf>
    <xf numFmtId="0" fontId="0" fillId="6" borderId="0" xfId="0" applyFill="1" applyAlignment="1">
      <alignment horizontal="center" vertical="center"/>
    </xf>
    <xf numFmtId="0" fontId="12" fillId="0" borderId="9" xfId="0" applyFont="1" applyFill="1" applyBorder="1" applyAlignment="1">
      <alignment horizontal="left"/>
    </xf>
    <xf numFmtId="0" fontId="0" fillId="6" borderId="14" xfId="0" applyFont="1" applyFill="1" applyBorder="1"/>
    <xf numFmtId="0" fontId="14" fillId="6" borderId="0" xfId="0" applyFont="1" applyFill="1" applyAlignment="1">
      <alignment horizontal="left" vertical="center"/>
    </xf>
    <xf numFmtId="166" fontId="25" fillId="0" borderId="9" xfId="0" applyNumberFormat="1" applyFont="1" applyFill="1" applyBorder="1" applyAlignment="1">
      <alignment vertical="center" wrapText="1"/>
    </xf>
    <xf numFmtId="0" fontId="3" fillId="0" borderId="3" xfId="0" applyFont="1" applyFill="1" applyBorder="1" applyAlignment="1">
      <alignment horizontal="center" vertical="center"/>
    </xf>
    <xf numFmtId="0" fontId="3" fillId="0" borderId="0" xfId="0" applyFont="1" applyFill="1" applyBorder="1" applyAlignment="1">
      <alignment horizontal="center" vertical="center"/>
    </xf>
    <xf numFmtId="9" fontId="3" fillId="0" borderId="0" xfId="0" applyNumberFormat="1" applyFont="1" applyFill="1" applyBorder="1" applyAlignment="1">
      <alignment horizontal="center" vertical="center"/>
    </xf>
    <xf numFmtId="167" fontId="0" fillId="0" borderId="0" xfId="0" applyNumberFormat="1" applyFill="1" applyBorder="1" applyAlignment="1">
      <alignment horizontal="center" vertical="center"/>
    </xf>
    <xf numFmtId="0" fontId="23" fillId="0" borderId="0" xfId="3" applyFill="1" applyBorder="1" applyAlignment="1">
      <alignment horizontal="center" vertical="center"/>
    </xf>
    <xf numFmtId="0" fontId="26" fillId="6" borderId="15" xfId="0" applyFont="1" applyFill="1" applyBorder="1"/>
    <xf numFmtId="0" fontId="11" fillId="6" borderId="0" xfId="0" applyFont="1" applyFill="1" applyAlignment="1">
      <alignment horizontal="center" vertical="center"/>
    </xf>
    <xf numFmtId="166" fontId="16" fillId="0" borderId="0" xfId="0" applyNumberFormat="1" applyFont="1" applyFill="1" applyBorder="1" applyAlignment="1">
      <alignment horizontal="center" vertical="center" wrapText="1"/>
    </xf>
    <xf numFmtId="166" fontId="16" fillId="0" borderId="3" xfId="0" applyNumberFormat="1" applyFont="1" applyFill="1" applyBorder="1" applyAlignment="1">
      <alignment horizontal="center" vertical="center" wrapText="1"/>
    </xf>
    <xf numFmtId="2" fontId="0" fillId="6" borderId="14" xfId="0" applyNumberFormat="1" applyFill="1" applyBorder="1" applyAlignment="1">
      <alignment horizontal="center" vertical="center"/>
    </xf>
    <xf numFmtId="0" fontId="25" fillId="8" borderId="0" xfId="0" applyFont="1" applyFill="1" applyBorder="1" applyAlignment="1">
      <alignment horizontal="left" wrapText="1"/>
    </xf>
    <xf numFmtId="2" fontId="26" fillId="6" borderId="0" xfId="0" applyNumberFormat="1" applyFont="1" applyFill="1" applyBorder="1" applyAlignment="1">
      <alignment horizontal="center" vertical="center"/>
    </xf>
    <xf numFmtId="0" fontId="13" fillId="8" borderId="0" xfId="0" applyFont="1" applyFill="1" applyBorder="1" applyAlignment="1">
      <alignment horizontal="left" vertical="center"/>
    </xf>
    <xf numFmtId="0" fontId="29" fillId="8" borderId="0" xfId="0" applyFont="1" applyFill="1" applyBorder="1" applyAlignment="1">
      <alignment horizontal="center" vertical="center"/>
    </xf>
    <xf numFmtId="0" fontId="14" fillId="8" borderId="0" xfId="0" applyFont="1" applyFill="1" applyBorder="1" applyAlignment="1">
      <alignment horizontal="center" vertical="center" wrapText="1"/>
    </xf>
    <xf numFmtId="0" fontId="14" fillId="8" borderId="0" xfId="0" applyFont="1" applyFill="1" applyAlignment="1">
      <alignment horizontal="center" vertical="center" wrapText="1"/>
    </xf>
    <xf numFmtId="0" fontId="3" fillId="6" borderId="0" xfId="0" applyFont="1" applyFill="1" applyAlignment="1">
      <alignment horizontal="center" wrapText="1"/>
    </xf>
    <xf numFmtId="0" fontId="0" fillId="0" borderId="3" xfId="0" applyFill="1" applyBorder="1"/>
    <xf numFmtId="0" fontId="26" fillId="6" borderId="9" xfId="0" applyFont="1" applyFill="1" applyBorder="1"/>
    <xf numFmtId="2" fontId="26" fillId="6" borderId="9" xfId="0" applyNumberFormat="1" applyFont="1" applyFill="1" applyBorder="1" applyAlignment="1">
      <alignment horizontal="left" vertical="center"/>
    </xf>
    <xf numFmtId="0" fontId="26" fillId="6" borderId="8" xfId="0" applyFont="1" applyFill="1" applyBorder="1" applyAlignment="1">
      <alignment horizontal="left"/>
    </xf>
    <xf numFmtId="0" fontId="14" fillId="8" borderId="0" xfId="0" applyFont="1" applyFill="1" applyBorder="1" applyAlignment="1">
      <alignment horizontal="left" vertical="center" wrapText="1"/>
    </xf>
    <xf numFmtId="2" fontId="29" fillId="8" borderId="0" xfId="0" applyNumberFormat="1" applyFont="1" applyFill="1" applyBorder="1" applyAlignment="1">
      <alignment horizontal="center" vertical="center"/>
    </xf>
    <xf numFmtId="167" fontId="29" fillId="8" borderId="0" xfId="0" applyNumberFormat="1" applyFont="1" applyFill="1" applyBorder="1" applyAlignment="1">
      <alignment horizontal="center" vertical="center"/>
    </xf>
    <xf numFmtId="0" fontId="15" fillId="8" borderId="0" xfId="0" applyFont="1" applyFill="1" applyBorder="1" applyAlignment="1">
      <alignment horizontal="left" vertical="center" wrapText="1"/>
    </xf>
    <xf numFmtId="0" fontId="30" fillId="8" borderId="0" xfId="0" applyFont="1" applyFill="1" applyAlignment="1">
      <alignment horizontal="center" vertical="center" wrapText="1"/>
    </xf>
    <xf numFmtId="0" fontId="31" fillId="8" borderId="0" xfId="0" applyFont="1" applyFill="1" applyAlignment="1">
      <alignment horizontal="left" vertical="center" wrapText="1"/>
    </xf>
    <xf numFmtId="0" fontId="31" fillId="6" borderId="0" xfId="0" applyFont="1" applyFill="1" applyAlignment="1">
      <alignment horizontal="left" vertical="center" wrapText="1"/>
    </xf>
    <xf numFmtId="0" fontId="12" fillId="8" borderId="0" xfId="0" applyFont="1" applyFill="1" applyBorder="1" applyAlignment="1">
      <alignment horizontal="left" vertical="center"/>
    </xf>
    <xf numFmtId="0" fontId="14" fillId="8" borderId="0" xfId="0" applyFont="1" applyFill="1" applyAlignment="1">
      <alignment horizontal="center" wrapText="1"/>
    </xf>
    <xf numFmtId="166" fontId="25" fillId="0" borderId="16" xfId="0" applyNumberFormat="1" applyFont="1" applyFill="1" applyBorder="1" applyAlignment="1">
      <alignment vertical="center" wrapText="1"/>
    </xf>
    <xf numFmtId="0" fontId="32" fillId="0" borderId="0" xfId="0" applyFont="1" applyFill="1" applyAlignment="1">
      <alignment horizontal="center" wrapText="1"/>
    </xf>
    <xf numFmtId="0" fontId="26" fillId="6" borderId="16" xfId="0" applyFont="1" applyFill="1" applyBorder="1"/>
    <xf numFmtId="0" fontId="26" fillId="6" borderId="9" xfId="0" applyFont="1" applyFill="1" applyBorder="1" applyAlignment="1">
      <alignment horizontal="left"/>
    </xf>
    <xf numFmtId="0" fontId="26" fillId="6" borderId="15" xfId="0" applyFont="1" applyFill="1" applyBorder="1" applyAlignment="1">
      <alignment horizontal="left"/>
    </xf>
    <xf numFmtId="0" fontId="7" fillId="8" borderId="0" xfId="0" applyFont="1" applyFill="1" applyAlignment="1">
      <alignment horizontal="center" vertical="center" wrapText="1"/>
    </xf>
    <xf numFmtId="0" fontId="7" fillId="6" borderId="0" xfId="0" applyFont="1" applyFill="1" applyAlignment="1">
      <alignment horizontal="center" vertical="center" wrapText="1"/>
    </xf>
    <xf numFmtId="2" fontId="3" fillId="0" borderId="0" xfId="0" applyNumberFormat="1" applyFont="1" applyFill="1" applyAlignment="1">
      <alignment horizontal="center" vertical="center"/>
    </xf>
    <xf numFmtId="2" fontId="3" fillId="0" borderId="3" xfId="0" applyNumberFormat="1" applyFont="1" applyFill="1" applyBorder="1" applyAlignment="1">
      <alignment horizontal="center" vertical="center"/>
    </xf>
    <xf numFmtId="2" fontId="3" fillId="0" borderId="0" xfId="0" applyNumberFormat="1" applyFont="1" applyFill="1" applyBorder="1" applyAlignment="1">
      <alignment horizontal="center" vertical="center"/>
    </xf>
    <xf numFmtId="166" fontId="0" fillId="0" borderId="0" xfId="0" applyNumberFormat="1" applyFill="1" applyBorder="1" applyAlignment="1">
      <alignment horizontal="center" vertical="center"/>
    </xf>
    <xf numFmtId="166" fontId="0" fillId="0" borderId="4" xfId="0" applyNumberFormat="1" applyFill="1" applyBorder="1" applyAlignment="1">
      <alignment horizontal="center" vertical="center"/>
    </xf>
    <xf numFmtId="166" fontId="0" fillId="0" borderId="0" xfId="0" applyNumberFormat="1" applyFill="1" applyAlignment="1">
      <alignment horizontal="center" vertical="center"/>
    </xf>
    <xf numFmtId="0" fontId="33" fillId="0" borderId="0" xfId="0" applyFont="1" applyFill="1" applyBorder="1"/>
    <xf numFmtId="0" fontId="3" fillId="8" borderId="0" xfId="0" applyFont="1" applyFill="1" applyBorder="1" applyAlignment="1">
      <alignment horizontal="left" vertical="center"/>
    </xf>
    <xf numFmtId="0" fontId="3" fillId="0" borderId="9" xfId="0" applyFont="1" applyFill="1" applyBorder="1" applyAlignment="1">
      <alignment vertical="center"/>
    </xf>
    <xf numFmtId="2" fontId="0" fillId="0" borderId="0" xfId="0" applyNumberFormat="1" applyFill="1" applyBorder="1" applyAlignment="1">
      <alignment horizontal="center" vertical="center"/>
    </xf>
    <xf numFmtId="2" fontId="0" fillId="0" borderId="4" xfId="0" applyNumberFormat="1" applyFill="1" applyBorder="1" applyAlignment="1">
      <alignment horizontal="center" vertical="center"/>
    </xf>
    <xf numFmtId="2" fontId="0" fillId="0" borderId="0" xfId="0" applyNumberFormat="1" applyFill="1" applyAlignment="1">
      <alignment horizontal="center" vertical="center"/>
    </xf>
    <xf numFmtId="0" fontId="33" fillId="0" borderId="0" xfId="0" applyFont="1" applyFill="1" applyAlignment="1">
      <alignment horizontal="center" wrapText="1"/>
    </xf>
    <xf numFmtId="0" fontId="26" fillId="6" borderId="0" xfId="0" applyFont="1" applyFill="1" applyBorder="1" applyAlignment="1">
      <alignment horizontal="left"/>
    </xf>
    <xf numFmtId="166" fontId="25" fillId="8" borderId="0" xfId="0" applyNumberFormat="1" applyFont="1" applyFill="1" applyBorder="1" applyAlignment="1">
      <alignment horizontal="left" vertical="center" wrapText="1"/>
    </xf>
    <xf numFmtId="0" fontId="27" fillId="8" borderId="0" xfId="0" applyFont="1" applyFill="1" applyBorder="1" applyAlignment="1">
      <alignment horizontal="center" vertical="center"/>
    </xf>
    <xf numFmtId="9" fontId="0" fillId="0" borderId="0" xfId="0" applyNumberFormat="1" applyFill="1" applyBorder="1"/>
    <xf numFmtId="9" fontId="0" fillId="0" borderId="4" xfId="0" applyNumberFormat="1" applyFill="1" applyBorder="1"/>
    <xf numFmtId="9" fontId="0" fillId="0" borderId="0" xfId="0" applyNumberFormat="1" applyFill="1"/>
    <xf numFmtId="166" fontId="25" fillId="8" borderId="0" xfId="0" applyNumberFormat="1" applyFont="1" applyFill="1" applyBorder="1" applyAlignment="1">
      <alignment vertical="center" wrapText="1"/>
    </xf>
    <xf numFmtId="0" fontId="0" fillId="8" borderId="0" xfId="0" applyFill="1"/>
    <xf numFmtId="0" fontId="29" fillId="8" borderId="0" xfId="0" applyFont="1" applyFill="1" applyBorder="1" applyAlignment="1">
      <alignment horizontal="center" vertical="center" wrapText="1"/>
    </xf>
    <xf numFmtId="0" fontId="0" fillId="8" borderId="0" xfId="0" applyFont="1" applyFill="1" applyBorder="1" applyAlignment="1">
      <alignment horizontal="left" vertical="center"/>
    </xf>
    <xf numFmtId="0" fontId="30" fillId="8" borderId="0" xfId="0" applyFont="1" applyFill="1" applyAlignment="1">
      <alignment horizontal="center" vertical="center"/>
    </xf>
    <xf numFmtId="0" fontId="0" fillId="6" borderId="0" xfId="0" applyFill="1" applyAlignment="1">
      <alignment horizontal="left"/>
    </xf>
    <xf numFmtId="0" fontId="12" fillId="0" borderId="0" xfId="0" applyFont="1" applyFill="1" applyAlignment="1">
      <alignment horizontal="center"/>
    </xf>
    <xf numFmtId="0" fontId="12" fillId="0" borderId="3" xfId="0" applyFont="1" applyFill="1" applyBorder="1" applyAlignment="1">
      <alignment horizontal="center"/>
    </xf>
    <xf numFmtId="0" fontId="12" fillId="0" borderId="0" xfId="0" applyFont="1" applyFill="1" applyBorder="1" applyAlignment="1">
      <alignment horizontal="center"/>
    </xf>
    <xf numFmtId="0" fontId="31" fillId="8" borderId="0" xfId="0" applyFont="1" applyFill="1" applyAlignment="1">
      <alignment horizontal="center" vertical="center" wrapText="1"/>
    </xf>
    <xf numFmtId="0" fontId="31" fillId="6" borderId="0" xfId="0" applyFont="1" applyFill="1" applyAlignment="1">
      <alignment horizontal="center" vertical="center" wrapText="1"/>
    </xf>
    <xf numFmtId="2" fontId="37" fillId="0" borderId="0" xfId="0" applyNumberFormat="1" applyFont="1" applyFill="1" applyBorder="1" applyAlignment="1">
      <alignment horizontal="center" vertical="center"/>
    </xf>
    <xf numFmtId="0" fontId="39" fillId="8" borderId="0" xfId="0" applyFont="1" applyFill="1" applyAlignment="1">
      <alignment horizontal="center" vertical="center" wrapText="1"/>
    </xf>
    <xf numFmtId="2" fontId="29" fillId="8" borderId="0" xfId="0" applyNumberFormat="1" applyFont="1" applyFill="1" applyAlignment="1">
      <alignment horizontal="center" wrapText="1"/>
    </xf>
    <xf numFmtId="0" fontId="37" fillId="0" borderId="0" xfId="0" applyFont="1" applyFill="1" applyBorder="1" applyAlignment="1">
      <alignment horizontal="center" vertical="center"/>
    </xf>
    <xf numFmtId="0" fontId="33" fillId="0" borderId="0" xfId="0" applyFont="1" applyFill="1" applyAlignment="1">
      <alignment vertical="center"/>
    </xf>
    <xf numFmtId="49" fontId="30" fillId="8" borderId="0" xfId="0" applyNumberFormat="1" applyFont="1" applyFill="1" applyAlignment="1">
      <alignment horizontal="center" vertical="center" wrapText="1"/>
    </xf>
    <xf numFmtId="1" fontId="0" fillId="8" borderId="0" xfId="0" applyNumberFormat="1" applyFill="1" applyBorder="1" applyAlignment="1">
      <alignment horizontal="center" vertical="center"/>
    </xf>
    <xf numFmtId="1" fontId="0" fillId="6" borderId="0" xfId="0" applyNumberFormat="1" applyFill="1" applyBorder="1" applyAlignment="1">
      <alignment horizontal="center" vertical="center"/>
    </xf>
    <xf numFmtId="0" fontId="9" fillId="0" borderId="0" xfId="0" applyFont="1" applyFill="1" applyBorder="1" applyAlignment="1">
      <alignment horizontal="center" vertical="center"/>
    </xf>
    <xf numFmtId="0" fontId="0" fillId="6" borderId="0" xfId="0" applyFont="1" applyFill="1" applyBorder="1"/>
    <xf numFmtId="0" fontId="0" fillId="6" borderId="0" xfId="0" applyFill="1" applyBorder="1" applyAlignment="1">
      <alignment horizontal="left"/>
    </xf>
    <xf numFmtId="0" fontId="0" fillId="6" borderId="15" xfId="0" applyFill="1" applyBorder="1" applyAlignment="1">
      <alignment horizontal="left"/>
    </xf>
    <xf numFmtId="0" fontId="14" fillId="6" borderId="0" xfId="0" applyFont="1" applyFill="1" applyBorder="1" applyAlignment="1">
      <alignment horizontal="left" vertical="center" wrapText="1"/>
    </xf>
    <xf numFmtId="0" fontId="15" fillId="6" borderId="0" xfId="0" applyFont="1" applyFill="1" applyBorder="1" applyAlignment="1">
      <alignment horizontal="left" vertical="center"/>
    </xf>
    <xf numFmtId="0" fontId="11" fillId="6" borderId="0" xfId="0" applyFont="1" applyFill="1" applyBorder="1" applyAlignment="1">
      <alignment horizontal="center" vertical="center"/>
    </xf>
    <xf numFmtId="0" fontId="15" fillId="6" borderId="0" xfId="0" applyFont="1" applyFill="1" applyBorder="1" applyAlignment="1">
      <alignment horizontal="left" vertical="center" wrapText="1"/>
    </xf>
    <xf numFmtId="0" fontId="30" fillId="6" borderId="0" xfId="0" applyFont="1" applyFill="1" applyAlignment="1">
      <alignment horizontal="center" vertical="center" wrapText="1"/>
    </xf>
    <xf numFmtId="0" fontId="15" fillId="8" borderId="0" xfId="0" applyFont="1" applyFill="1" applyBorder="1" applyAlignment="1">
      <alignment horizontal="left" vertical="center"/>
    </xf>
    <xf numFmtId="166" fontId="26" fillId="8" borderId="0" xfId="0" applyNumberFormat="1" applyFont="1" applyFill="1" applyBorder="1" applyAlignment="1">
      <alignment horizontal="left" vertical="center"/>
    </xf>
    <xf numFmtId="166" fontId="30" fillId="8" borderId="0" xfId="0" applyNumberFormat="1" applyFont="1" applyFill="1" applyBorder="1" applyAlignment="1">
      <alignment horizontal="center" vertical="center"/>
    </xf>
    <xf numFmtId="0" fontId="8" fillId="8" borderId="0" xfId="0" applyFont="1" applyFill="1" applyBorder="1" applyAlignment="1">
      <alignment horizontal="center" vertical="center" wrapText="1"/>
    </xf>
    <xf numFmtId="0" fontId="8" fillId="6" borderId="0" xfId="0" applyFont="1" applyFill="1" applyBorder="1" applyAlignment="1">
      <alignment horizontal="center" vertical="center" wrapText="1"/>
    </xf>
    <xf numFmtId="0" fontId="12" fillId="0" borderId="0" xfId="0" applyFont="1" applyFill="1" applyBorder="1" applyAlignment="1">
      <alignment horizontal="left"/>
    </xf>
    <xf numFmtId="0" fontId="0" fillId="10" borderId="0" xfId="0" applyFill="1" applyBorder="1" applyAlignment="1">
      <alignment horizontal="center" vertical="center"/>
    </xf>
    <xf numFmtId="0" fontId="0" fillId="0" borderId="0" xfId="0" applyFont="1" applyFill="1" applyAlignment="1"/>
    <xf numFmtId="0" fontId="0" fillId="6" borderId="0" xfId="0" applyFont="1" applyFill="1" applyBorder="1" applyAlignment="1"/>
    <xf numFmtId="0" fontId="0" fillId="6" borderId="9" xfId="0" applyFill="1" applyBorder="1" applyAlignment="1"/>
    <xf numFmtId="0" fontId="0" fillId="6" borderId="9" xfId="0" applyFill="1" applyBorder="1" applyAlignment="1">
      <alignment horizontal="left"/>
    </xf>
    <xf numFmtId="2" fontId="14" fillId="8" borderId="0" xfId="0" applyNumberFormat="1" applyFont="1" applyFill="1" applyBorder="1" applyAlignment="1">
      <alignment horizontal="center" vertical="center"/>
    </xf>
    <xf numFmtId="166" fontId="27" fillId="8" borderId="0" xfId="0" applyNumberFormat="1" applyFont="1" applyFill="1" applyBorder="1" applyAlignment="1">
      <alignment horizontal="left" vertical="center"/>
    </xf>
    <xf numFmtId="166" fontId="40" fillId="8" borderId="0" xfId="0" applyNumberFormat="1" applyFont="1" applyFill="1" applyBorder="1" applyAlignment="1">
      <alignment horizontal="center" vertical="center"/>
    </xf>
    <xf numFmtId="0" fontId="41" fillId="8" borderId="0" xfId="0" applyFont="1" applyFill="1" applyBorder="1" applyAlignment="1">
      <alignment horizontal="center" vertical="center"/>
    </xf>
    <xf numFmtId="0" fontId="41" fillId="6" borderId="0" xfId="0" applyFont="1" applyFill="1" applyBorder="1" applyAlignment="1">
      <alignment horizontal="center" vertical="center"/>
    </xf>
    <xf numFmtId="166" fontId="25" fillId="0" borderId="9" xfId="0" applyNumberFormat="1" applyFont="1" applyFill="1" applyBorder="1" applyAlignment="1">
      <alignment horizontal="left" vertical="center" wrapText="1"/>
    </xf>
    <xf numFmtId="1" fontId="0" fillId="0" borderId="0" xfId="0" applyNumberFormat="1" applyFill="1" applyBorder="1" applyAlignment="1">
      <alignment horizontal="center" vertical="center"/>
    </xf>
    <xf numFmtId="1" fontId="0" fillId="10" borderId="0" xfId="0" applyNumberFormat="1" applyFill="1" applyBorder="1" applyAlignment="1">
      <alignment horizontal="center" vertical="center"/>
    </xf>
    <xf numFmtId="1" fontId="0" fillId="0" borderId="4" xfId="0" applyNumberFormat="1" applyFill="1" applyBorder="1" applyAlignment="1">
      <alignment horizontal="center" vertical="center"/>
    </xf>
    <xf numFmtId="0" fontId="42" fillId="10" borderId="0" xfId="0" applyFont="1" applyFill="1" applyBorder="1" applyAlignment="1">
      <alignment horizontal="center" vertical="center" wrapText="1"/>
    </xf>
    <xf numFmtId="0" fontId="23" fillId="10" borderId="0" xfId="3" applyFill="1" applyBorder="1" applyAlignment="1">
      <alignment horizontal="center" vertical="center"/>
    </xf>
    <xf numFmtId="0" fontId="0" fillId="0" borderId="0" xfId="0" applyAlignment="1"/>
    <xf numFmtId="0" fontId="22" fillId="0" borderId="0" xfId="0" applyFont="1" applyFill="1" applyBorder="1" applyAlignment="1">
      <alignment horizontal="center" vertical="center"/>
    </xf>
    <xf numFmtId="167" fontId="0" fillId="0" borderId="4" xfId="0" applyNumberFormat="1" applyFill="1" applyBorder="1" applyAlignment="1">
      <alignment horizontal="center" vertical="center"/>
    </xf>
    <xf numFmtId="0" fontId="9" fillId="10" borderId="0" xfId="0" applyFont="1" applyFill="1" applyBorder="1" applyAlignment="1">
      <alignment horizontal="center" vertical="center"/>
    </xf>
    <xf numFmtId="0" fontId="33" fillId="0" borderId="0" xfId="0" applyFont="1" applyFill="1"/>
    <xf numFmtId="166" fontId="8" fillId="8" borderId="0" xfId="0" applyNumberFormat="1" applyFont="1" applyFill="1" applyBorder="1" applyAlignment="1">
      <alignment horizontal="center" vertical="center"/>
    </xf>
    <xf numFmtId="166" fontId="8" fillId="6" borderId="0" xfId="0" applyNumberFormat="1" applyFont="1" applyFill="1" applyBorder="1" applyAlignment="1">
      <alignment horizontal="center" vertical="center"/>
    </xf>
    <xf numFmtId="0" fontId="0" fillId="0" borderId="0" xfId="0" applyAlignment="1">
      <alignment vertical="center"/>
    </xf>
    <xf numFmtId="0" fontId="21" fillId="10" borderId="0" xfId="0" applyFont="1" applyFill="1" applyBorder="1" applyAlignment="1">
      <alignment horizontal="center" vertical="center"/>
    </xf>
    <xf numFmtId="0" fontId="3" fillId="6" borderId="0" xfId="0" applyFont="1" applyFill="1" applyBorder="1" applyAlignment="1">
      <alignment horizontal="left" vertical="center"/>
    </xf>
    <xf numFmtId="2" fontId="14" fillId="6" borderId="0" xfId="0" applyNumberFormat="1" applyFont="1" applyFill="1" applyBorder="1" applyAlignment="1">
      <alignment horizontal="center" vertical="center"/>
    </xf>
    <xf numFmtId="166" fontId="29" fillId="6" borderId="0" xfId="0" applyNumberFormat="1" applyFont="1" applyFill="1" applyBorder="1" applyAlignment="1">
      <alignment horizontal="left" vertical="center"/>
    </xf>
    <xf numFmtId="166" fontId="29" fillId="6" borderId="0" xfId="0" applyNumberFormat="1" applyFont="1" applyFill="1" applyBorder="1" applyAlignment="1">
      <alignment horizontal="center" vertical="center"/>
    </xf>
    <xf numFmtId="166" fontId="16" fillId="6" borderId="0" xfId="0" applyNumberFormat="1" applyFont="1" applyFill="1" applyBorder="1" applyAlignment="1">
      <alignment horizontal="center" vertical="center" wrapText="1"/>
    </xf>
    <xf numFmtId="0" fontId="23" fillId="6" borderId="0" xfId="3" applyFill="1" applyAlignment="1">
      <alignment horizontal="center" vertical="center"/>
    </xf>
    <xf numFmtId="0" fontId="0" fillId="6" borderId="0" xfId="0" applyFill="1" applyBorder="1" applyAlignment="1"/>
    <xf numFmtId="0" fontId="21" fillId="6" borderId="0" xfId="0" applyFont="1" applyFill="1" applyAlignment="1">
      <alignment horizontal="left"/>
    </xf>
    <xf numFmtId="10" fontId="0" fillId="6" borderId="0" xfId="0" applyNumberFormat="1" applyFill="1" applyBorder="1"/>
    <xf numFmtId="168" fontId="42" fillId="6" borderId="0" xfId="0" applyNumberFormat="1" applyFont="1" applyFill="1" applyAlignment="1">
      <alignment horizontal="left" vertical="center"/>
    </xf>
    <xf numFmtId="0" fontId="23" fillId="0" borderId="0" xfId="3" applyFill="1" applyAlignment="1">
      <alignment horizontal="center" vertical="center"/>
    </xf>
    <xf numFmtId="0" fontId="14" fillId="0" borderId="0" xfId="0" applyFont="1" applyFill="1" applyAlignment="1">
      <alignment horizontal="center" wrapText="1"/>
    </xf>
    <xf numFmtId="168" fontId="42" fillId="0" borderId="0" xfId="0" applyNumberFormat="1" applyFont="1" applyFill="1" applyAlignment="1">
      <alignment horizontal="left" vertical="center"/>
    </xf>
    <xf numFmtId="0" fontId="32" fillId="0" borderId="0" xfId="0" applyFont="1" applyFill="1"/>
    <xf numFmtId="0" fontId="19" fillId="0" borderId="0" xfId="0" applyFont="1" applyFill="1" applyAlignment="1">
      <alignment horizontal="center"/>
    </xf>
    <xf numFmtId="0" fontId="19" fillId="0" borderId="0" xfId="0" applyFont="1" applyFill="1" applyAlignment="1">
      <alignment horizontal="left"/>
    </xf>
    <xf numFmtId="0" fontId="0" fillId="0" borderId="0" xfId="0" applyFill="1" applyAlignment="1">
      <alignment horizontal="center"/>
    </xf>
    <xf numFmtId="0" fontId="4" fillId="0" borderId="1" xfId="0" applyFont="1" applyFill="1" applyBorder="1" applyAlignment="1">
      <alignment vertical="center"/>
    </xf>
    <xf numFmtId="0" fontId="4" fillId="0" borderId="6" xfId="0" applyFont="1" applyFill="1" applyBorder="1"/>
    <xf numFmtId="0" fontId="43" fillId="0" borderId="6" xfId="0" applyFont="1" applyFill="1" applyBorder="1"/>
    <xf numFmtId="0" fontId="0" fillId="0" borderId="2" xfId="0" applyFill="1" applyBorder="1"/>
    <xf numFmtId="0" fontId="0" fillId="6" borderId="0" xfId="0" applyFont="1" applyFill="1"/>
    <xf numFmtId="0" fontId="44" fillId="0" borderId="3" xfId="0" applyFont="1" applyFill="1" applyBorder="1" applyAlignment="1">
      <alignment vertical="center"/>
    </xf>
    <xf numFmtId="0" fontId="44" fillId="0" borderId="0" xfId="0" applyFont="1" applyFill="1" applyBorder="1" applyAlignment="1">
      <alignment vertical="center"/>
    </xf>
    <xf numFmtId="0" fontId="0" fillId="0" borderId="4" xfId="0" applyFill="1" applyBorder="1"/>
    <xf numFmtId="0" fontId="45" fillId="0" borderId="1" xfId="0" applyFont="1" applyFill="1" applyBorder="1" applyAlignment="1">
      <alignment vertical="center"/>
    </xf>
    <xf numFmtId="0" fontId="46" fillId="0" borderId="6" xfId="0" applyFont="1" applyFill="1" applyBorder="1" applyAlignment="1">
      <alignment vertical="center"/>
    </xf>
    <xf numFmtId="0" fontId="47" fillId="0" borderId="6" xfId="0" applyFont="1" applyFill="1" applyBorder="1" applyAlignment="1">
      <alignment horizontal="left" vertical="center" wrapText="1"/>
    </xf>
    <xf numFmtId="0" fontId="46" fillId="0" borderId="6" xfId="0" applyFont="1" applyFill="1" applyBorder="1" applyAlignment="1">
      <alignment horizontal="left" vertical="center" wrapText="1"/>
    </xf>
    <xf numFmtId="0" fontId="45" fillId="0" borderId="10" xfId="0" applyFont="1" applyFill="1" applyBorder="1" applyAlignment="1">
      <alignment vertical="center"/>
    </xf>
    <xf numFmtId="0" fontId="46" fillId="0" borderId="7" xfId="0" applyFont="1" applyFill="1" applyBorder="1" applyAlignment="1">
      <alignment vertical="center"/>
    </xf>
    <xf numFmtId="0" fontId="48" fillId="0" borderId="7" xfId="0" applyFont="1" applyFill="1" applyBorder="1" applyAlignment="1">
      <alignment horizontal="left" vertical="center" wrapText="1"/>
    </xf>
    <xf numFmtId="0" fontId="46" fillId="0" borderId="7" xfId="0" applyFont="1" applyFill="1" applyBorder="1" applyAlignment="1">
      <alignment horizontal="left" vertical="center" wrapText="1"/>
    </xf>
    <xf numFmtId="0" fontId="0" fillId="0" borderId="5" xfId="0" applyFill="1" applyBorder="1"/>
    <xf numFmtId="0" fontId="49" fillId="0" borderId="6" xfId="0" applyFont="1" applyFill="1" applyBorder="1" applyAlignment="1">
      <alignment horizontal="left" vertical="center" wrapText="1"/>
    </xf>
    <xf numFmtId="0" fontId="44" fillId="0" borderId="6" xfId="0" applyFont="1" applyFill="1" applyBorder="1" applyAlignment="1">
      <alignment horizontal="left" vertical="center" wrapText="1"/>
    </xf>
    <xf numFmtId="0" fontId="45" fillId="0" borderId="3" xfId="0" applyFont="1" applyFill="1" applyBorder="1" applyAlignment="1">
      <alignment vertical="center"/>
    </xf>
    <xf numFmtId="0" fontId="46" fillId="0" borderId="0" xfId="0" applyFont="1" applyFill="1" applyBorder="1" applyAlignment="1">
      <alignment vertical="center"/>
    </xf>
    <xf numFmtId="0" fontId="48" fillId="0" borderId="0" xfId="0" applyFont="1" applyFill="1" applyBorder="1" applyAlignment="1">
      <alignment horizontal="left" vertical="center" wrapText="1"/>
    </xf>
    <xf numFmtId="0" fontId="46" fillId="0" borderId="0" xfId="0" applyFont="1" applyFill="1" applyBorder="1" applyAlignment="1">
      <alignment horizontal="left" vertical="center" wrapText="1"/>
    </xf>
    <xf numFmtId="0" fontId="47" fillId="0" borderId="0" xfId="0" applyFont="1" applyFill="1" applyBorder="1" applyAlignment="1">
      <alignment horizontal="left" vertical="center" wrapText="1"/>
    </xf>
    <xf numFmtId="0" fontId="49" fillId="0" borderId="0" xfId="0" applyFont="1" applyFill="1" applyBorder="1" applyAlignment="1">
      <alignment horizontal="left" vertical="center" wrapText="1"/>
    </xf>
    <xf numFmtId="0" fontId="44" fillId="0" borderId="0" xfId="0" applyFont="1" applyFill="1" applyBorder="1" applyAlignment="1">
      <alignment horizontal="left" vertical="center" wrapText="1"/>
    </xf>
    <xf numFmtId="0" fontId="45" fillId="6" borderId="3" xfId="0" applyFont="1" applyFill="1" applyBorder="1" applyAlignment="1">
      <alignment vertical="center"/>
    </xf>
    <xf numFmtId="0" fontId="46" fillId="6" borderId="0" xfId="0" applyFont="1" applyFill="1" applyBorder="1" applyAlignment="1">
      <alignment vertical="center"/>
    </xf>
    <xf numFmtId="0" fontId="47" fillId="6" borderId="0" xfId="0" applyFont="1" applyFill="1" applyBorder="1" applyAlignment="1">
      <alignment horizontal="left" vertical="center" wrapText="1"/>
    </xf>
    <xf numFmtId="0" fontId="46" fillId="6" borderId="0" xfId="0" applyFont="1" applyFill="1" applyBorder="1" applyAlignment="1">
      <alignment horizontal="left" vertical="center" wrapText="1"/>
    </xf>
    <xf numFmtId="0" fontId="23" fillId="0" borderId="0" xfId="3" applyAlignment="1">
      <alignment horizontal="center" vertical="center"/>
    </xf>
    <xf numFmtId="1" fontId="0" fillId="0" borderId="4" xfId="0" applyNumberFormat="1" applyBorder="1"/>
    <xf numFmtId="0" fontId="48" fillId="6" borderId="0" xfId="0" applyFont="1" applyFill="1" applyBorder="1" applyAlignment="1">
      <alignment horizontal="left" vertical="center" wrapText="1"/>
    </xf>
    <xf numFmtId="0" fontId="50" fillId="6" borderId="0" xfId="0" applyFont="1" applyFill="1" applyBorder="1" applyAlignment="1">
      <alignment horizontal="left" vertical="center" wrapText="1"/>
    </xf>
    <xf numFmtId="0" fontId="45" fillId="6" borderId="10" xfId="0" applyFont="1" applyFill="1" applyBorder="1" applyAlignment="1">
      <alignment vertical="center"/>
    </xf>
    <xf numFmtId="0" fontId="46" fillId="6" borderId="7" xfId="0" applyFont="1" applyFill="1" applyBorder="1" applyAlignment="1">
      <alignment vertical="center"/>
    </xf>
    <xf numFmtId="0" fontId="47" fillId="6" borderId="7" xfId="0" applyFont="1" applyFill="1" applyBorder="1" applyAlignment="1">
      <alignment horizontal="left" vertical="center" wrapText="1"/>
    </xf>
    <xf numFmtId="0" fontId="46" fillId="6" borderId="7" xfId="0" applyFont="1" applyFill="1" applyBorder="1" applyAlignment="1">
      <alignment horizontal="left" vertical="center" wrapText="1"/>
    </xf>
    <xf numFmtId="0" fontId="20" fillId="6" borderId="0" xfId="0" applyFont="1" applyFill="1" applyAlignment="1">
      <alignment wrapText="1"/>
    </xf>
    <xf numFmtId="0" fontId="0" fillId="6" borderId="0" xfId="0" applyFill="1" applyBorder="1" applyAlignment="1">
      <alignment vertical="center"/>
    </xf>
    <xf numFmtId="0" fontId="20" fillId="6" borderId="0" xfId="0" applyFont="1" applyFill="1" applyAlignment="1">
      <alignment horizontal="left" vertical="center" wrapText="1"/>
    </xf>
    <xf numFmtId="0" fontId="12" fillId="6" borderId="0" xfId="0" applyFont="1" applyFill="1" applyAlignment="1">
      <alignment horizontal="left" vertical="center"/>
    </xf>
    <xf numFmtId="2" fontId="15" fillId="6" borderId="9" xfId="0" applyNumberFormat="1" applyFont="1" applyFill="1" applyBorder="1" applyAlignment="1">
      <alignment horizontal="left" vertical="center"/>
    </xf>
    <xf numFmtId="0" fontId="12" fillId="8" borderId="17" xfId="0" applyFont="1" applyFill="1" applyBorder="1" applyAlignment="1">
      <alignment horizontal="left" vertical="center"/>
    </xf>
    <xf numFmtId="0" fontId="0" fillId="8" borderId="17" xfId="0" applyFill="1" applyBorder="1" applyAlignment="1">
      <alignment vertical="center"/>
    </xf>
    <xf numFmtId="0" fontId="53" fillId="6" borderId="0" xfId="0" applyFont="1" applyFill="1" applyAlignment="1">
      <alignment horizontal="left"/>
    </xf>
    <xf numFmtId="167" fontId="15" fillId="8" borderId="0" xfId="0" applyNumberFormat="1" applyFont="1" applyFill="1" applyBorder="1" applyAlignment="1">
      <alignment horizontal="right" vertical="center"/>
    </xf>
    <xf numFmtId="166" fontId="15" fillId="6" borderId="9" xfId="0" applyNumberFormat="1" applyFont="1" applyFill="1" applyBorder="1" applyAlignment="1">
      <alignment horizontal="left" vertical="center"/>
    </xf>
    <xf numFmtId="0" fontId="14" fillId="8" borderId="17" xfId="0" applyFont="1" applyFill="1" applyBorder="1" applyAlignment="1">
      <alignment horizontal="left" vertical="center"/>
    </xf>
    <xf numFmtId="167" fontId="15" fillId="8" borderId="17" xfId="0" applyNumberFormat="1" applyFont="1" applyFill="1" applyBorder="1" applyAlignment="1">
      <alignment horizontal="right" vertical="center"/>
    </xf>
    <xf numFmtId="0" fontId="15" fillId="8" borderId="17" xfId="0" applyFont="1" applyFill="1" applyBorder="1" applyAlignment="1">
      <alignment horizontal="center" vertical="center"/>
    </xf>
    <xf numFmtId="166" fontId="53" fillId="6" borderId="0" xfId="0" applyNumberFormat="1" applyFont="1" applyFill="1" applyAlignment="1">
      <alignment horizontal="left"/>
    </xf>
    <xf numFmtId="0" fontId="0" fillId="8" borderId="0" xfId="0" applyFill="1" applyBorder="1" applyAlignment="1">
      <alignment horizontal="center" vertical="center"/>
    </xf>
    <xf numFmtId="0" fontId="14" fillId="8" borderId="0" xfId="0" applyFont="1" applyFill="1" applyBorder="1" applyAlignment="1">
      <alignment vertical="center"/>
    </xf>
    <xf numFmtId="0" fontId="13" fillId="6" borderId="0" xfId="0" applyFont="1" applyFill="1" applyAlignment="1">
      <alignment horizontal="left"/>
    </xf>
    <xf numFmtId="0" fontId="15" fillId="8" borderId="17" xfId="0" applyFont="1" applyFill="1" applyBorder="1" applyAlignment="1">
      <alignment vertical="center"/>
    </xf>
    <xf numFmtId="0" fontId="14" fillId="8" borderId="17" xfId="0" applyFont="1" applyFill="1" applyBorder="1" applyAlignment="1">
      <alignment horizontal="center" vertical="center"/>
    </xf>
    <xf numFmtId="0" fontId="0" fillId="6" borderId="0" xfId="0" applyFill="1" applyAlignment="1"/>
    <xf numFmtId="0" fontId="15" fillId="6" borderId="9" xfId="0" applyFont="1" applyFill="1" applyBorder="1" applyAlignment="1">
      <alignment horizontal="left" vertical="center"/>
    </xf>
    <xf numFmtId="0" fontId="14" fillId="8" borderId="0" xfId="0" applyFont="1" applyFill="1" applyBorder="1" applyAlignment="1">
      <alignment horizontal="left" vertical="center"/>
    </xf>
    <xf numFmtId="2" fontId="27" fillId="8" borderId="0" xfId="0" applyNumberFormat="1" applyFont="1" applyFill="1" applyBorder="1" applyAlignment="1">
      <alignment horizontal="center" vertical="center"/>
    </xf>
    <xf numFmtId="0" fontId="15" fillId="8" borderId="0" xfId="0" applyFont="1" applyFill="1" applyBorder="1" applyAlignment="1">
      <alignment horizontal="center" vertical="center"/>
    </xf>
    <xf numFmtId="0" fontId="4" fillId="6" borderId="0" xfId="0" applyFont="1" applyFill="1" applyAlignment="1">
      <alignment horizontal="left" vertical="center"/>
    </xf>
    <xf numFmtId="0" fontId="15" fillId="6" borderId="0" xfId="0" applyFont="1" applyFill="1" applyAlignment="1">
      <alignment horizontal="left" vertical="center"/>
    </xf>
    <xf numFmtId="1" fontId="15" fillId="8" borderId="0" xfId="0" applyNumberFormat="1" applyFont="1" applyFill="1" applyBorder="1" applyAlignment="1">
      <alignment horizontal="center" vertical="center"/>
    </xf>
    <xf numFmtId="166" fontId="29" fillId="8" borderId="0" xfId="0" applyNumberFormat="1" applyFont="1" applyFill="1" applyBorder="1" applyAlignment="1">
      <alignment horizontal="left" vertical="center" wrapText="1"/>
    </xf>
    <xf numFmtId="2" fontId="15" fillId="8" borderId="0" xfId="0" applyNumberFormat="1" applyFont="1" applyFill="1" applyBorder="1" applyAlignment="1">
      <alignment horizontal="center" vertical="center"/>
    </xf>
    <xf numFmtId="0" fontId="54" fillId="0" borderId="0" xfId="0" applyFont="1" applyFill="1" applyAlignment="1">
      <alignment horizontal="left" vertical="center" wrapText="1"/>
    </xf>
    <xf numFmtId="0" fontId="4" fillId="0" borderId="0" xfId="0" applyFont="1" applyFill="1" applyAlignment="1">
      <alignment horizontal="left" vertical="center" wrapText="1"/>
    </xf>
    <xf numFmtId="0" fontId="0" fillId="6" borderId="0" xfId="0" applyFill="1" applyAlignment="1">
      <alignment horizontal="left" vertical="center"/>
    </xf>
    <xf numFmtId="0" fontId="3" fillId="6" borderId="0" xfId="0" applyFont="1" applyFill="1" applyAlignment="1">
      <alignment horizontal="center" vertical="center" wrapText="1"/>
    </xf>
    <xf numFmtId="167" fontId="15" fillId="8" borderId="0" xfId="0" applyNumberFormat="1" applyFont="1" applyFill="1" applyBorder="1" applyAlignment="1">
      <alignment horizontal="center" vertical="center"/>
    </xf>
    <xf numFmtId="166" fontId="29" fillId="8" borderId="17" xfId="0" applyNumberFormat="1" applyFont="1" applyFill="1" applyBorder="1" applyAlignment="1">
      <alignment horizontal="left" vertical="center" wrapText="1"/>
    </xf>
    <xf numFmtId="2" fontId="27" fillId="8" borderId="17" xfId="0" applyNumberFormat="1" applyFont="1" applyFill="1" applyBorder="1" applyAlignment="1">
      <alignment horizontal="center" vertical="center"/>
    </xf>
    <xf numFmtId="2" fontId="15" fillId="8" borderId="17" xfId="0" applyNumberFormat="1" applyFont="1" applyFill="1" applyBorder="1" applyAlignment="1">
      <alignment horizontal="center" vertical="center"/>
    </xf>
    <xf numFmtId="0" fontId="14" fillId="6" borderId="0" xfId="0" applyFont="1" applyFill="1" applyAlignment="1">
      <alignment horizontal="left"/>
    </xf>
    <xf numFmtId="0" fontId="14" fillId="6" borderId="0" xfId="0" applyFont="1" applyFill="1"/>
    <xf numFmtId="0" fontId="14" fillId="6" borderId="18" xfId="0" applyFont="1" applyFill="1" applyBorder="1" applyAlignment="1">
      <alignment horizontal="left"/>
    </xf>
    <xf numFmtId="0" fontId="15" fillId="6" borderId="18" xfId="0" applyFont="1" applyFill="1" applyBorder="1" applyAlignment="1">
      <alignment horizontal="left" vertical="center"/>
    </xf>
    <xf numFmtId="0" fontId="14" fillId="6" borderId="18" xfId="0" applyFont="1" applyFill="1" applyBorder="1" applyAlignment="1">
      <alignment horizontal="center" wrapText="1"/>
    </xf>
    <xf numFmtId="0" fontId="30" fillId="6" borderId="18" xfId="0" applyFont="1" applyFill="1" applyBorder="1" applyAlignment="1">
      <alignment horizontal="left" wrapText="1"/>
    </xf>
    <xf numFmtId="0" fontId="53" fillId="6" borderId="0" xfId="0" applyFont="1" applyFill="1" applyBorder="1" applyAlignment="1">
      <alignment horizontal="left" vertical="center"/>
    </xf>
    <xf numFmtId="0" fontId="53" fillId="6" borderId="0" xfId="0" applyFont="1" applyFill="1" applyAlignment="1">
      <alignment horizontal="center" wrapText="1"/>
    </xf>
    <xf numFmtId="0" fontId="41" fillId="6" borderId="0" xfId="0" applyFont="1" applyFill="1" applyBorder="1" applyAlignment="1">
      <alignment horizontal="left" wrapText="1"/>
    </xf>
    <xf numFmtId="0" fontId="30" fillId="6" borderId="0" xfId="0" applyFont="1" applyFill="1" applyBorder="1" applyAlignment="1">
      <alignment horizontal="left" wrapText="1"/>
    </xf>
    <xf numFmtId="0" fontId="3" fillId="0" borderId="0" xfId="0" applyFont="1" applyFill="1" applyAlignment="1">
      <alignment horizontal="center" wrapText="1"/>
    </xf>
    <xf numFmtId="0" fontId="54" fillId="0" borderId="0" xfId="0" applyFont="1" applyFill="1"/>
    <xf numFmtId="0" fontId="54" fillId="0" borderId="0" xfId="0" applyFont="1" applyFill="1" applyAlignment="1">
      <alignment vertical="center"/>
    </xf>
    <xf numFmtId="0" fontId="4" fillId="0" borderId="0" xfId="0" applyFont="1" applyFill="1" applyAlignment="1">
      <alignment vertical="center"/>
    </xf>
    <xf numFmtId="0" fontId="54" fillId="0" borderId="0" xfId="0" applyFont="1" applyFill="1" applyAlignment="1">
      <alignment horizontal="center" vertical="center" wrapText="1"/>
    </xf>
    <xf numFmtId="0" fontId="42" fillId="0" borderId="0" xfId="0" applyFont="1" applyFill="1" applyAlignment="1">
      <alignment horizontal="center" vertical="center" wrapText="1"/>
    </xf>
    <xf numFmtId="0" fontId="54" fillId="0" borderId="0" xfId="0" applyFont="1" applyFill="1" applyAlignment="1">
      <alignment horizontal="center" vertical="center"/>
    </xf>
    <xf numFmtId="0" fontId="4" fillId="0" borderId="0" xfId="0" applyFont="1" applyFill="1" applyAlignment="1">
      <alignment horizontal="center" vertical="center"/>
    </xf>
    <xf numFmtId="0" fontId="54" fillId="0" borderId="0" xfId="0" applyFont="1" applyFill="1" applyBorder="1"/>
    <xf numFmtId="0" fontId="56" fillId="0" borderId="0" xfId="0" applyFont="1" applyFill="1" applyBorder="1" applyAlignment="1">
      <alignment horizontal="justify" vertical="center" wrapText="1"/>
    </xf>
    <xf numFmtId="0" fontId="57" fillId="0" borderId="0" xfId="0" applyFont="1" applyFill="1" applyBorder="1" applyAlignment="1">
      <alignment horizontal="justify" vertical="center" wrapText="1"/>
    </xf>
    <xf numFmtId="0" fontId="58" fillId="0" borderId="0" xfId="0" applyFont="1" applyFill="1" applyBorder="1" applyAlignment="1">
      <alignment horizontal="justify" vertical="center" wrapText="1"/>
    </xf>
    <xf numFmtId="0" fontId="4" fillId="0" borderId="0" xfId="0" applyFont="1" applyFill="1"/>
    <xf numFmtId="0" fontId="4" fillId="0" borderId="0" xfId="0" applyFont="1" applyFill="1" applyBorder="1"/>
    <xf numFmtId="0" fontId="0" fillId="8" borderId="0" xfId="0" applyFill="1" applyBorder="1"/>
    <xf numFmtId="0" fontId="33" fillId="6" borderId="0" xfId="0" applyFont="1" applyFill="1"/>
    <xf numFmtId="0" fontId="0" fillId="0" borderId="0" xfId="0" applyFont="1"/>
    <xf numFmtId="0" fontId="13" fillId="6" borderId="0" xfId="0" applyFont="1" applyFill="1"/>
    <xf numFmtId="0" fontId="3" fillId="6" borderId="0" xfId="0" applyFont="1" applyFill="1"/>
    <xf numFmtId="2" fontId="27" fillId="6" borderId="9" xfId="0" applyNumberFormat="1" applyFont="1" applyFill="1" applyBorder="1" applyAlignment="1">
      <alignment horizontal="left" vertical="center"/>
    </xf>
    <xf numFmtId="0" fontId="12" fillId="8" borderId="0" xfId="0" applyFont="1" applyFill="1" applyAlignment="1">
      <alignment vertical="center"/>
    </xf>
    <xf numFmtId="0" fontId="0" fillId="8" borderId="0" xfId="0" applyFill="1" applyAlignment="1">
      <alignment vertical="center"/>
    </xf>
    <xf numFmtId="0" fontId="0" fillId="8" borderId="0" xfId="0" applyFill="1" applyBorder="1" applyAlignment="1">
      <alignment vertical="center"/>
    </xf>
    <xf numFmtId="0" fontId="27" fillId="6" borderId="0" xfId="0" applyFont="1" applyFill="1"/>
    <xf numFmtId="0" fontId="27" fillId="6" borderId="0" xfId="0" applyFont="1" applyFill="1" applyAlignment="1">
      <alignment horizontal="left" vertical="center"/>
    </xf>
    <xf numFmtId="0" fontId="15" fillId="8" borderId="0" xfId="0" applyFont="1" applyFill="1" applyAlignment="1">
      <alignment vertical="center"/>
    </xf>
    <xf numFmtId="0" fontId="6" fillId="6" borderId="0" xfId="0" applyFont="1" applyFill="1"/>
    <xf numFmtId="2" fontId="27" fillId="6" borderId="0" xfId="0" applyNumberFormat="1" applyFont="1" applyFill="1" applyAlignment="1">
      <alignment horizontal="left" vertical="center"/>
    </xf>
    <xf numFmtId="0" fontId="62" fillId="6" borderId="0" xfId="0" applyFont="1" applyFill="1"/>
    <xf numFmtId="0" fontId="62" fillId="6" borderId="0" xfId="0" applyFont="1" applyFill="1" applyAlignment="1">
      <alignment vertical="center"/>
    </xf>
    <xf numFmtId="0" fontId="15" fillId="6" borderId="0" xfId="0" applyFont="1" applyFill="1" applyAlignment="1">
      <alignment vertical="center"/>
    </xf>
    <xf numFmtId="0" fontId="12" fillId="8" borderId="0" xfId="0" applyFont="1" applyFill="1"/>
    <xf numFmtId="0" fontId="12" fillId="8" borderId="0" xfId="0" applyFont="1" applyFill="1" applyAlignment="1">
      <alignment horizontal="right" vertical="center"/>
    </xf>
    <xf numFmtId="1" fontId="12" fillId="8" borderId="0" xfId="0" applyNumberFormat="1" applyFont="1" applyFill="1" applyAlignment="1">
      <alignment horizontal="right" vertical="center"/>
    </xf>
    <xf numFmtId="16" fontId="27" fillId="6" borderId="9" xfId="0" applyNumberFormat="1" applyFont="1" applyFill="1" applyBorder="1"/>
    <xf numFmtId="2" fontId="59" fillId="8" borderId="0" xfId="0" applyNumberFormat="1" applyFont="1" applyFill="1" applyAlignment="1">
      <alignment horizontal="right" vertical="center"/>
    </xf>
    <xf numFmtId="167" fontId="12" fillId="8" borderId="0" xfId="0" applyNumberFormat="1" applyFont="1" applyFill="1" applyAlignment="1">
      <alignment horizontal="right" vertical="center"/>
    </xf>
    <xf numFmtId="0" fontId="26" fillId="6" borderId="0" xfId="0" applyFont="1" applyFill="1"/>
    <xf numFmtId="0" fontId="0" fillId="6" borderId="18" xfId="0" applyFill="1" applyBorder="1"/>
    <xf numFmtId="0" fontId="20" fillId="6" borderId="0" xfId="0" applyFont="1" applyFill="1" applyAlignment="1">
      <alignment horizontal="left" wrapText="1"/>
    </xf>
    <xf numFmtId="0" fontId="0" fillId="6" borderId="21" xfId="0" applyFill="1" applyBorder="1"/>
    <xf numFmtId="0" fontId="14" fillId="6" borderId="21" xfId="0" applyFont="1" applyFill="1" applyBorder="1"/>
    <xf numFmtId="0" fontId="5" fillId="0" borderId="21" xfId="0" applyFont="1" applyBorder="1" applyAlignment="1">
      <alignment horizontal="center" vertical="center"/>
    </xf>
    <xf numFmtId="0" fontId="5" fillId="0" borderId="23" xfId="0" applyFont="1" applyBorder="1" applyAlignment="1">
      <alignment horizontal="center" vertical="center"/>
    </xf>
    <xf numFmtId="170" fontId="4" fillId="4" borderId="0" xfId="0" applyNumberFormat="1" applyFont="1" applyFill="1" applyAlignment="1">
      <alignment textRotation="90"/>
    </xf>
    <xf numFmtId="0" fontId="0" fillId="6" borderId="0" xfId="0" applyFill="1" applyAlignment="1">
      <alignment horizontal="right"/>
    </xf>
    <xf numFmtId="0" fontId="4" fillId="6" borderId="0" xfId="0" applyFont="1" applyFill="1" applyAlignment="1">
      <alignment horizontal="right"/>
    </xf>
    <xf numFmtId="0" fontId="14" fillId="6" borderId="0" xfId="0" applyFont="1" applyFill="1" applyAlignment="1">
      <alignment horizontal="right"/>
    </xf>
    <xf numFmtId="0" fontId="0" fillId="4" borderId="0" xfId="0" applyFill="1" applyBorder="1"/>
    <xf numFmtId="0" fontId="0" fillId="4" borderId="19" xfId="0" applyFill="1" applyBorder="1"/>
    <xf numFmtId="0" fontId="55" fillId="6" borderId="0" xfId="0" applyFont="1" applyFill="1"/>
    <xf numFmtId="0" fontId="14" fillId="6" borderId="9" xfId="0" applyFont="1" applyFill="1" applyBorder="1"/>
    <xf numFmtId="0" fontId="0" fillId="11" borderId="0" xfId="0" applyFill="1"/>
    <xf numFmtId="0" fontId="0" fillId="12" borderId="0" xfId="0" applyFill="1"/>
    <xf numFmtId="0" fontId="0" fillId="13" borderId="0" xfId="0" applyFill="1"/>
    <xf numFmtId="0" fontId="0" fillId="6" borderId="19" xfId="0" applyFill="1" applyBorder="1" applyAlignment="1">
      <alignment vertical="center"/>
    </xf>
    <xf numFmtId="0" fontId="21" fillId="6" borderId="24" xfId="0" applyFont="1" applyFill="1" applyBorder="1" applyAlignment="1">
      <alignment vertical="center"/>
    </xf>
    <xf numFmtId="0" fontId="0" fillId="6" borderId="25" xfId="0" applyFill="1" applyBorder="1" applyAlignment="1">
      <alignment vertical="center"/>
    </xf>
    <xf numFmtId="164" fontId="29" fillId="6" borderId="25" xfId="0" applyNumberFormat="1" applyFont="1" applyFill="1" applyBorder="1" applyAlignment="1">
      <alignment horizontal="left" vertical="center"/>
    </xf>
    <xf numFmtId="0" fontId="29" fillId="6" borderId="28" xfId="0" applyFont="1" applyFill="1" applyBorder="1" applyAlignment="1">
      <alignment horizontal="center" vertical="center"/>
    </xf>
    <xf numFmtId="0" fontId="29" fillId="7" borderId="19" xfId="0" applyFont="1" applyFill="1" applyBorder="1" applyAlignment="1">
      <alignment vertical="center"/>
    </xf>
    <xf numFmtId="0" fontId="5" fillId="6" borderId="27" xfId="0" applyFont="1" applyFill="1" applyBorder="1" applyAlignment="1">
      <alignment vertical="center"/>
    </xf>
    <xf numFmtId="0" fontId="21" fillId="6" borderId="27" xfId="0" applyFont="1" applyFill="1" applyBorder="1" applyAlignment="1">
      <alignment vertical="center"/>
    </xf>
    <xf numFmtId="164" fontId="29" fillId="6" borderId="4" xfId="0" applyNumberFormat="1" applyFont="1" applyFill="1" applyBorder="1" applyAlignment="1">
      <alignment horizontal="left" vertical="center"/>
    </xf>
    <xf numFmtId="0" fontId="29" fillId="6" borderId="9" xfId="0" applyFont="1" applyFill="1" applyBorder="1" applyAlignment="1">
      <alignment horizontal="center" vertical="center"/>
    </xf>
    <xf numFmtId="0" fontId="29" fillId="5" borderId="19" xfId="0" applyFont="1" applyFill="1" applyBorder="1" applyAlignment="1">
      <alignment vertical="center"/>
    </xf>
    <xf numFmtId="0" fontId="0" fillId="0" borderId="0" xfId="0" applyBorder="1" applyAlignment="1">
      <alignment vertical="center"/>
    </xf>
    <xf numFmtId="164" fontId="29" fillId="6" borderId="7" xfId="0" applyNumberFormat="1" applyFont="1" applyFill="1" applyBorder="1" applyAlignment="1">
      <alignment horizontal="left" vertical="center"/>
    </xf>
    <xf numFmtId="0" fontId="29" fillId="6" borderId="0" xfId="0" applyFont="1" applyFill="1" applyBorder="1" applyAlignment="1">
      <alignment horizontal="center" vertical="center"/>
    </xf>
    <xf numFmtId="0" fontId="21" fillId="6" borderId="22" xfId="0" applyFont="1" applyFill="1" applyBorder="1" applyAlignment="1">
      <alignment vertical="center"/>
    </xf>
    <xf numFmtId="164" fontId="29" fillId="6" borderId="9" xfId="0" applyNumberFormat="1" applyFont="1" applyFill="1" applyBorder="1" applyAlignment="1">
      <alignment horizontal="left" vertical="center"/>
    </xf>
    <xf numFmtId="0" fontId="29" fillId="6" borderId="21" xfId="0" applyFont="1" applyFill="1" applyBorder="1" applyAlignment="1">
      <alignment horizontal="center" vertical="center"/>
    </xf>
    <xf numFmtId="0" fontId="29" fillId="9" borderId="19" xfId="0" applyFont="1" applyFill="1" applyBorder="1" applyAlignment="1">
      <alignment vertical="center"/>
    </xf>
    <xf numFmtId="0" fontId="5" fillId="6" borderId="22" xfId="0" applyFont="1" applyFill="1" applyBorder="1" applyAlignment="1">
      <alignment vertical="center"/>
    </xf>
    <xf numFmtId="0" fontId="0" fillId="6" borderId="21" xfId="0" applyFill="1" applyBorder="1" applyAlignment="1">
      <alignment vertical="center"/>
    </xf>
    <xf numFmtId="0" fontId="0" fillId="6" borderId="20" xfId="0" applyFill="1" applyBorder="1" applyAlignment="1">
      <alignment vertical="center"/>
    </xf>
    <xf numFmtId="0" fontId="21" fillId="6" borderId="0" xfId="0" applyFont="1" applyFill="1" applyBorder="1" applyAlignment="1">
      <alignment vertical="center"/>
    </xf>
    <xf numFmtId="164" fontId="29" fillId="6" borderId="0" xfId="0" applyNumberFormat="1" applyFont="1" applyFill="1" applyBorder="1" applyAlignment="1">
      <alignment horizontal="left" vertical="center"/>
    </xf>
    <xf numFmtId="0" fontId="5" fillId="6" borderId="24" xfId="0" applyFont="1" applyFill="1" applyBorder="1" applyAlignment="1">
      <alignment vertical="center"/>
    </xf>
    <xf numFmtId="0" fontId="0" fillId="6" borderId="26" xfId="0" applyFill="1" applyBorder="1" applyAlignment="1">
      <alignment vertical="center"/>
    </xf>
    <xf numFmtId="0" fontId="21" fillId="6" borderId="21" xfId="0" applyFont="1" applyFill="1" applyBorder="1" applyAlignment="1">
      <alignment vertical="center"/>
    </xf>
    <xf numFmtId="164" fontId="29" fillId="6" borderId="21" xfId="0" applyNumberFormat="1" applyFont="1" applyFill="1" applyBorder="1" applyAlignment="1">
      <alignment horizontal="left" vertical="center"/>
    </xf>
    <xf numFmtId="0" fontId="29" fillId="9" borderId="20" xfId="0" applyFont="1" applyFill="1" applyBorder="1" applyAlignment="1">
      <alignment vertical="center"/>
    </xf>
    <xf numFmtId="164" fontId="14" fillId="6" borderId="0" xfId="0" applyNumberFormat="1" applyFont="1" applyFill="1" applyAlignment="1">
      <alignment vertical="center"/>
    </xf>
    <xf numFmtId="0" fontId="14" fillId="6" borderId="0" xfId="0" applyFont="1" applyFill="1" applyAlignment="1">
      <alignment vertical="center"/>
    </xf>
    <xf numFmtId="0" fontId="0" fillId="6" borderId="24" xfId="0" applyFill="1" applyBorder="1" applyAlignment="1">
      <alignment vertical="center"/>
    </xf>
    <xf numFmtId="0" fontId="0" fillId="6" borderId="27" xfId="0" applyFill="1" applyBorder="1" applyAlignment="1">
      <alignment vertical="center"/>
    </xf>
    <xf numFmtId="0" fontId="0" fillId="6" borderId="22" xfId="0" applyFill="1" applyBorder="1" applyAlignment="1">
      <alignment vertical="center"/>
    </xf>
    <xf numFmtId="0" fontId="5" fillId="6" borderId="21" xfId="0" applyFont="1" applyFill="1" applyBorder="1" applyAlignment="1">
      <alignment horizontal="center" vertical="center"/>
    </xf>
    <xf numFmtId="0" fontId="5" fillId="6" borderId="20" xfId="0" applyFont="1" applyFill="1" applyBorder="1" applyAlignment="1">
      <alignment vertical="center"/>
    </xf>
    <xf numFmtId="0" fontId="0" fillId="6" borderId="19" xfId="0" applyFill="1" applyBorder="1" applyAlignment="1">
      <alignment horizontal="right" vertical="center"/>
    </xf>
    <xf numFmtId="0" fontId="14" fillId="6" borderId="19" xfId="0" applyFont="1" applyFill="1" applyBorder="1" applyAlignment="1">
      <alignment horizontal="right" vertical="center"/>
    </xf>
    <xf numFmtId="0" fontId="0" fillId="0" borderId="0" xfId="0" applyAlignment="1">
      <alignment horizontal="right"/>
    </xf>
    <xf numFmtId="0" fontId="0" fillId="0" borderId="0" xfId="0" applyFont="1" applyAlignment="1">
      <alignment horizontal="right"/>
    </xf>
    <xf numFmtId="0" fontId="66" fillId="6" borderId="21" xfId="0" applyFont="1" applyFill="1" applyBorder="1" applyAlignment="1">
      <alignment horizontal="center" vertical="center"/>
    </xf>
    <xf numFmtId="0" fontId="15" fillId="8" borderId="0" xfId="0" applyFont="1" applyFill="1" applyAlignment="1">
      <alignment horizontal="left" vertical="center" wrapText="1"/>
    </xf>
    <xf numFmtId="0" fontId="14" fillId="8" borderId="0" xfId="0" applyFont="1" applyFill="1" applyAlignment="1">
      <alignment horizontal="left" vertical="center" wrapText="1"/>
    </xf>
    <xf numFmtId="0" fontId="14" fillId="0" borderId="0" xfId="0" applyFont="1" applyFill="1" applyAlignment="1">
      <alignment horizontal="left" vertical="center" wrapText="1"/>
    </xf>
    <xf numFmtId="0" fontId="0" fillId="6" borderId="0" xfId="0" applyFont="1" applyFill="1" applyAlignment="1"/>
    <xf numFmtId="2" fontId="0" fillId="6" borderId="0" xfId="0" applyNumberFormat="1" applyFill="1" applyBorder="1" applyAlignment="1">
      <alignment horizontal="center" vertical="center"/>
    </xf>
    <xf numFmtId="2" fontId="0" fillId="6" borderId="14" xfId="0" applyNumberFormat="1" applyFill="1" applyBorder="1" applyAlignment="1">
      <alignment horizontal="left" vertical="center"/>
    </xf>
    <xf numFmtId="0" fontId="0" fillId="6" borderId="14" xfId="0" applyFont="1" applyFill="1" applyBorder="1" applyAlignment="1">
      <alignment horizontal="left"/>
    </xf>
    <xf numFmtId="0" fontId="26" fillId="6" borderId="16" xfId="0" applyFont="1" applyFill="1" applyBorder="1" applyAlignment="1">
      <alignment horizontal="left"/>
    </xf>
    <xf numFmtId="0" fontId="0" fillId="6" borderId="0" xfId="0" applyFont="1" applyFill="1" applyBorder="1" applyAlignment="1">
      <alignment horizontal="left"/>
    </xf>
    <xf numFmtId="0" fontId="0" fillId="6" borderId="14" xfId="0" applyFill="1" applyBorder="1" applyAlignment="1">
      <alignment horizontal="left"/>
    </xf>
    <xf numFmtId="2" fontId="0" fillId="6" borderId="0" xfId="0" applyNumberFormat="1" applyFill="1" applyBorder="1" applyAlignment="1">
      <alignment horizontal="right" vertical="center"/>
    </xf>
    <xf numFmtId="2" fontId="26" fillId="6" borderId="0" xfId="0" applyNumberFormat="1" applyFont="1" applyFill="1" applyBorder="1" applyAlignment="1">
      <alignment horizontal="left" vertical="center"/>
    </xf>
    <xf numFmtId="0" fontId="3" fillId="6" borderId="18" xfId="0" applyFont="1" applyFill="1" applyBorder="1" applyAlignment="1">
      <alignment horizontal="left" vertical="center"/>
    </xf>
    <xf numFmtId="2" fontId="14" fillId="6" borderId="18" xfId="0" applyNumberFormat="1" applyFont="1" applyFill="1" applyBorder="1" applyAlignment="1">
      <alignment horizontal="center" vertical="center"/>
    </xf>
    <xf numFmtId="166" fontId="29" fillId="6" borderId="18" xfId="0" applyNumberFormat="1" applyFont="1" applyFill="1" applyBorder="1" applyAlignment="1">
      <alignment horizontal="left" vertical="center"/>
    </xf>
    <xf numFmtId="166" fontId="29" fillId="6" borderId="18" xfId="0" applyNumberFormat="1" applyFont="1" applyFill="1" applyBorder="1" applyAlignment="1">
      <alignment horizontal="center" vertical="center"/>
    </xf>
    <xf numFmtId="1" fontId="0" fillId="6" borderId="18" xfId="0" applyNumberFormat="1" applyFill="1" applyBorder="1" applyAlignment="1">
      <alignment horizontal="center" vertical="center"/>
    </xf>
    <xf numFmtId="0" fontId="0" fillId="6" borderId="18" xfId="0" applyFill="1" applyBorder="1" applyAlignment="1"/>
    <xf numFmtId="0" fontId="0" fillId="6" borderId="18" xfId="0" applyFill="1" applyBorder="1" applyAlignment="1">
      <alignment horizontal="left"/>
    </xf>
    <xf numFmtId="2" fontId="29" fillId="8" borderId="0" xfId="0" applyNumberFormat="1" applyFont="1" applyFill="1" applyAlignment="1">
      <alignment horizontal="center" vertical="center" wrapText="1"/>
    </xf>
    <xf numFmtId="1" fontId="14" fillId="8" borderId="0" xfId="0" applyNumberFormat="1" applyFont="1" applyFill="1" applyAlignment="1">
      <alignment horizontal="center" vertical="center" wrapText="1"/>
    </xf>
    <xf numFmtId="0" fontId="55" fillId="8" borderId="0" xfId="0" applyFont="1" applyFill="1" applyAlignment="1">
      <alignment horizontal="center" vertical="center" wrapText="1"/>
    </xf>
    <xf numFmtId="0" fontId="29" fillId="6" borderId="0" xfId="0" applyFont="1" applyFill="1" applyAlignment="1">
      <alignment horizontal="left" vertical="center" wrapText="1"/>
    </xf>
    <xf numFmtId="0" fontId="26" fillId="6" borderId="0" xfId="0" applyFont="1" applyFill="1" applyAlignment="1">
      <alignment horizontal="center" vertical="center"/>
    </xf>
    <xf numFmtId="0" fontId="29" fillId="6" borderId="0" xfId="0" applyFont="1" applyFill="1" applyAlignment="1">
      <alignment horizontal="left" vertical="center"/>
    </xf>
    <xf numFmtId="0" fontId="67" fillId="0" borderId="0" xfId="0" applyFont="1" applyFill="1"/>
    <xf numFmtId="0" fontId="68" fillId="0" borderId="0" xfId="0" applyFont="1" applyFill="1"/>
    <xf numFmtId="0" fontId="69" fillId="0" borderId="0" xfId="0" applyFont="1" applyFill="1"/>
    <xf numFmtId="0" fontId="67" fillId="0" borderId="0" xfId="3" applyFont="1" applyFill="1"/>
    <xf numFmtId="166" fontId="29" fillId="8" borderId="0" xfId="0" applyNumberFormat="1" applyFont="1" applyFill="1" applyBorder="1" applyAlignment="1">
      <alignment horizontal="center" vertical="center"/>
    </xf>
    <xf numFmtId="1" fontId="14" fillId="8" borderId="0" xfId="0" applyNumberFormat="1" applyFont="1" applyFill="1" applyBorder="1" applyAlignment="1">
      <alignment horizontal="center" vertical="center"/>
    </xf>
    <xf numFmtId="167" fontId="14" fillId="8" borderId="0" xfId="0" applyNumberFormat="1" applyFont="1" applyFill="1" applyBorder="1" applyAlignment="1">
      <alignment horizontal="center" vertical="center"/>
    </xf>
    <xf numFmtId="171" fontId="0" fillId="6" borderId="0" xfId="0" applyNumberFormat="1" applyFill="1" applyBorder="1" applyAlignment="1">
      <alignment horizontal="center" vertical="center"/>
    </xf>
    <xf numFmtId="172" fontId="0" fillId="6" borderId="0" xfId="0" applyNumberFormat="1" applyFill="1" applyBorder="1" applyAlignment="1">
      <alignment horizontal="center" vertical="center"/>
    </xf>
    <xf numFmtId="169" fontId="0" fillId="6" borderId="0" xfId="0" applyNumberFormat="1" applyFill="1" applyBorder="1" applyAlignment="1">
      <alignment horizontal="center" vertical="center"/>
    </xf>
    <xf numFmtId="2" fontId="14" fillId="6" borderId="0" xfId="0" applyNumberFormat="1" applyFont="1" applyFill="1" applyAlignment="1">
      <alignment horizontal="center" wrapText="1"/>
    </xf>
    <xf numFmtId="0" fontId="70" fillId="0" borderId="0" xfId="0" applyFont="1" applyAlignment="1">
      <alignment horizontal="left" vertical="center" indent="2" readingOrder="1"/>
    </xf>
    <xf numFmtId="0" fontId="31" fillId="0" borderId="0" xfId="0" applyFont="1"/>
    <xf numFmtId="0" fontId="70" fillId="0" borderId="0" xfId="0" applyFont="1" applyAlignment="1">
      <alignment horizontal="left" vertical="center" indent="5" readingOrder="1"/>
    </xf>
    <xf numFmtId="2" fontId="12" fillId="8" borderId="0" xfId="0" applyNumberFormat="1" applyFont="1" applyFill="1" applyAlignment="1">
      <alignment horizontal="right" vertical="center"/>
    </xf>
    <xf numFmtId="0" fontId="20" fillId="6" borderId="0" xfId="0" applyFont="1" applyFill="1" applyAlignment="1">
      <alignment vertical="top" wrapText="1"/>
    </xf>
    <xf numFmtId="1" fontId="12" fillId="8" borderId="0" xfId="0" applyNumberFormat="1" applyFont="1" applyFill="1" applyAlignment="1">
      <alignment vertical="center"/>
    </xf>
    <xf numFmtId="0" fontId="0" fillId="6" borderId="16" xfId="0" applyFill="1" applyBorder="1" applyAlignment="1"/>
    <xf numFmtId="0" fontId="0" fillId="6" borderId="16" xfId="0" applyFill="1" applyBorder="1" applyAlignment="1">
      <alignment horizontal="left"/>
    </xf>
    <xf numFmtId="0" fontId="0" fillId="6" borderId="29" xfId="0" applyFill="1" applyBorder="1" applyAlignment="1">
      <alignment horizontal="left"/>
    </xf>
    <xf numFmtId="2" fontId="0" fillId="6" borderId="17" xfId="0" applyNumberFormat="1" applyFill="1" applyBorder="1" applyAlignment="1">
      <alignment horizontal="right" vertical="center"/>
    </xf>
    <xf numFmtId="0" fontId="0" fillId="6" borderId="17" xfId="0" applyFill="1" applyBorder="1" applyAlignment="1">
      <alignment horizontal="left"/>
    </xf>
    <xf numFmtId="0" fontId="0" fillId="6" borderId="17" xfId="0" applyFill="1" applyBorder="1"/>
    <xf numFmtId="0" fontId="0" fillId="6" borderId="30" xfId="0" applyFill="1" applyBorder="1" applyAlignment="1"/>
    <xf numFmtId="0" fontId="0" fillId="6" borderId="30" xfId="0" applyFill="1" applyBorder="1" applyAlignment="1">
      <alignment horizontal="left"/>
    </xf>
    <xf numFmtId="0" fontId="0" fillId="6" borderId="31" xfId="0" applyFill="1" applyBorder="1" applyAlignment="1">
      <alignment horizontal="left"/>
    </xf>
    <xf numFmtId="0" fontId="14" fillId="6" borderId="0" xfId="0" applyFont="1" applyFill="1" applyBorder="1"/>
    <xf numFmtId="0" fontId="74" fillId="6" borderId="0" xfId="0" applyFont="1" applyFill="1" applyAlignment="1">
      <alignment vertical="top"/>
    </xf>
    <xf numFmtId="0" fontId="12" fillId="6" borderId="0" xfId="0" applyFont="1" applyFill="1" applyAlignment="1">
      <alignment horizontal="left" vertical="top" wrapText="1"/>
    </xf>
    <xf numFmtId="0" fontId="14" fillId="6" borderId="0" xfId="0" applyFont="1" applyFill="1" applyAlignment="1">
      <alignment horizontal="left" vertical="top" wrapText="1"/>
    </xf>
    <xf numFmtId="0" fontId="0" fillId="17" borderId="0" xfId="0" applyFill="1"/>
    <xf numFmtId="0" fontId="0" fillId="0" borderId="3" xfId="0" applyBorder="1"/>
    <xf numFmtId="0" fontId="0" fillId="17" borderId="3" xfId="0" applyFill="1" applyBorder="1"/>
    <xf numFmtId="0" fontId="0" fillId="17" borderId="0" xfId="0" applyFill="1" applyBorder="1"/>
    <xf numFmtId="170" fontId="4" fillId="4" borderId="3" xfId="0" applyNumberFormat="1" applyFont="1" applyFill="1" applyBorder="1" applyAlignment="1">
      <alignment textRotation="90"/>
    </xf>
    <xf numFmtId="170" fontId="4" fillId="4" borderId="0" xfId="0" applyNumberFormat="1" applyFont="1" applyFill="1" applyBorder="1" applyAlignment="1">
      <alignment textRotation="90"/>
    </xf>
    <xf numFmtId="0" fontId="32" fillId="0" borderId="0" xfId="0" applyFont="1" applyFill="1" applyAlignment="1">
      <alignment vertical="center"/>
    </xf>
    <xf numFmtId="0" fontId="32" fillId="0" borderId="0" xfId="0" applyFont="1" applyFill="1" applyAlignment="1"/>
    <xf numFmtId="0" fontId="16" fillId="0" borderId="0" xfId="0" applyFont="1" applyFill="1"/>
    <xf numFmtId="0" fontId="22" fillId="0" borderId="0" xfId="0" applyFont="1" applyFill="1"/>
    <xf numFmtId="0" fontId="75" fillId="0" borderId="0" xfId="0" applyFont="1" applyFill="1"/>
    <xf numFmtId="0" fontId="75" fillId="0" borderId="0" xfId="0" applyFont="1" applyFill="1" applyBorder="1"/>
    <xf numFmtId="10" fontId="75" fillId="0" borderId="0" xfId="0" applyNumberFormat="1" applyFont="1" applyFill="1" applyBorder="1"/>
    <xf numFmtId="169" fontId="75" fillId="0" borderId="0" xfId="0" applyNumberFormat="1" applyFont="1" applyFill="1" applyBorder="1"/>
    <xf numFmtId="0" fontId="19" fillId="0" borderId="0" xfId="0" applyFont="1" applyFill="1"/>
    <xf numFmtId="0" fontId="20" fillId="0" borderId="0" xfId="0" applyFont="1" applyFill="1" applyAlignment="1">
      <alignment wrapText="1"/>
    </xf>
    <xf numFmtId="0" fontId="20" fillId="0" borderId="0" xfId="0" applyFont="1" applyFill="1" applyAlignment="1">
      <alignment horizontal="left" vertical="center" wrapText="1"/>
    </xf>
    <xf numFmtId="0" fontId="19" fillId="0" borderId="0" xfId="0" applyFont="1" applyFill="1" applyBorder="1" applyAlignment="1">
      <alignment horizontal="left" vertical="center"/>
    </xf>
    <xf numFmtId="0" fontId="19" fillId="0" borderId="0" xfId="0" applyFont="1" applyFill="1" applyBorder="1" applyAlignment="1">
      <alignment horizontal="center"/>
    </xf>
    <xf numFmtId="0" fontId="19" fillId="0" borderId="0" xfId="0" applyFont="1" applyFill="1" applyAlignment="1">
      <alignment vertical="center"/>
    </xf>
    <xf numFmtId="2" fontId="19" fillId="0" borderId="0" xfId="0" applyNumberFormat="1" applyFont="1" applyFill="1" applyAlignment="1">
      <alignment vertical="center"/>
    </xf>
    <xf numFmtId="0" fontId="19" fillId="0" borderId="0" xfId="0" applyFont="1" applyFill="1" applyBorder="1"/>
    <xf numFmtId="0" fontId="77" fillId="0" borderId="0" xfId="0" applyFont="1" applyFill="1" applyBorder="1" applyAlignment="1">
      <alignment horizontal="justify" vertical="center" wrapText="1"/>
    </xf>
    <xf numFmtId="0" fontId="19" fillId="0" borderId="0" xfId="0" applyFont="1" applyFill="1" applyBorder="1" applyAlignment="1">
      <alignment horizontal="left" vertical="center" wrapText="1"/>
    </xf>
    <xf numFmtId="166" fontId="19" fillId="0" borderId="0" xfId="0" applyNumberFormat="1" applyFont="1" applyFill="1" applyBorder="1" applyAlignment="1">
      <alignment horizontal="left" vertical="center" wrapText="1"/>
    </xf>
    <xf numFmtId="166" fontId="19" fillId="0" borderId="0" xfId="0" applyNumberFormat="1" applyFont="1" applyFill="1" applyBorder="1" applyAlignment="1">
      <alignment horizontal="center" vertical="center" wrapText="1"/>
    </xf>
    <xf numFmtId="166" fontId="19" fillId="0" borderId="0" xfId="0" applyNumberFormat="1" applyFont="1" applyFill="1" applyBorder="1" applyAlignment="1">
      <alignment horizontal="center" vertical="center"/>
    </xf>
    <xf numFmtId="166" fontId="19" fillId="0" borderId="0" xfId="0" applyNumberFormat="1" applyFont="1" applyFill="1" applyBorder="1"/>
    <xf numFmtId="0" fontId="19" fillId="0" borderId="0" xfId="0" applyFont="1" applyFill="1" applyBorder="1" applyAlignment="1">
      <alignment vertical="center"/>
    </xf>
    <xf numFmtId="0" fontId="14" fillId="6" borderId="0" xfId="0" applyFont="1" applyFill="1" applyAlignment="1">
      <alignment wrapText="1"/>
    </xf>
    <xf numFmtId="0" fontId="14" fillId="6" borderId="0" xfId="0" applyFont="1" applyFill="1" applyAlignment="1">
      <alignment horizontal="left" wrapText="1"/>
    </xf>
    <xf numFmtId="166" fontId="19" fillId="0" borderId="0" xfId="0" applyNumberFormat="1" applyFont="1" applyFill="1" applyBorder="1" applyAlignment="1">
      <alignment horizontal="center" vertical="center"/>
    </xf>
    <xf numFmtId="0" fontId="0" fillId="17" borderId="0" xfId="0" applyFill="1" applyAlignment="1">
      <alignment horizontal="center"/>
    </xf>
    <xf numFmtId="0" fontId="0" fillId="15" borderId="0" xfId="0" applyFill="1" applyAlignment="1">
      <alignment horizontal="center"/>
    </xf>
    <xf numFmtId="0" fontId="0" fillId="5" borderId="0" xfId="0" applyFill="1" applyAlignment="1">
      <alignment horizontal="center"/>
    </xf>
    <xf numFmtId="0" fontId="0" fillId="6" borderId="0" xfId="0" applyFill="1" applyAlignment="1">
      <alignment horizontal="center"/>
    </xf>
    <xf numFmtId="164" fontId="29" fillId="6" borderId="33" xfId="0" applyNumberFormat="1" applyFont="1" applyFill="1" applyBorder="1" applyAlignment="1">
      <alignment horizontal="center" vertical="center" textRotation="90"/>
    </xf>
    <xf numFmtId="164" fontId="29" fillId="6" borderId="32" xfId="0" applyNumberFormat="1" applyFont="1" applyFill="1" applyBorder="1" applyAlignment="1">
      <alignment horizontal="center" vertical="center" textRotation="90"/>
    </xf>
    <xf numFmtId="164" fontId="29" fillId="6" borderId="34" xfId="0" applyNumberFormat="1" applyFont="1" applyFill="1" applyBorder="1" applyAlignment="1">
      <alignment horizontal="center" vertical="center" textRotation="90"/>
    </xf>
    <xf numFmtId="165" fontId="0" fillId="15" borderId="0" xfId="0" applyNumberFormat="1" applyFill="1" applyAlignment="1">
      <alignment horizontal="center"/>
    </xf>
    <xf numFmtId="165" fontId="0" fillId="16" borderId="0" xfId="0" applyNumberFormat="1" applyFill="1" applyAlignment="1">
      <alignment horizontal="center"/>
    </xf>
    <xf numFmtId="165" fontId="0" fillId="14" borderId="0" xfId="0" applyNumberFormat="1" applyFill="1" applyAlignment="1">
      <alignment horizontal="center"/>
    </xf>
    <xf numFmtId="0" fontId="14" fillId="6" borderId="0" xfId="0" applyFont="1" applyFill="1" applyAlignment="1">
      <alignment horizontal="center"/>
    </xf>
    <xf numFmtId="0" fontId="73" fillId="0" borderId="0" xfId="0" applyFont="1" applyAlignment="1">
      <alignment horizontal="left" vertical="top" wrapText="1"/>
    </xf>
    <xf numFmtId="166" fontId="19" fillId="0" borderId="0" xfId="0" applyNumberFormat="1" applyFont="1" applyFill="1" applyBorder="1" applyAlignment="1">
      <alignment horizontal="center" vertical="center"/>
    </xf>
    <xf numFmtId="2" fontId="19" fillId="0" borderId="0" xfId="0" applyNumberFormat="1" applyFont="1" applyFill="1" applyBorder="1" applyAlignment="1">
      <alignment horizontal="center" vertical="center"/>
    </xf>
    <xf numFmtId="0" fontId="31" fillId="6" borderId="12" xfId="0" applyFont="1" applyFill="1" applyBorder="1" applyAlignment="1">
      <alignment horizontal="left" vertical="top" wrapText="1"/>
    </xf>
    <xf numFmtId="0" fontId="31" fillId="6" borderId="0" xfId="0" applyFont="1" applyFill="1" applyBorder="1" applyAlignment="1">
      <alignment horizontal="left" vertical="top" wrapText="1"/>
    </xf>
    <xf numFmtId="0" fontId="55" fillId="6" borderId="0" xfId="0" applyFont="1" applyFill="1" applyAlignment="1">
      <alignment horizontal="left" vertical="top" wrapText="1"/>
    </xf>
    <xf numFmtId="0" fontId="21" fillId="6" borderId="0" xfId="0" applyFont="1" applyFill="1" applyAlignment="1">
      <alignment horizontal="left" vertical="top" wrapText="1"/>
    </xf>
    <xf numFmtId="0" fontId="12" fillId="6" borderId="0" xfId="0" applyFont="1" applyFill="1" applyAlignment="1">
      <alignment horizontal="left" vertical="top" wrapText="1"/>
    </xf>
    <xf numFmtId="0" fontId="14" fillId="6" borderId="0" xfId="0" applyFont="1" applyFill="1" applyAlignment="1">
      <alignment horizontal="left" vertical="top" wrapText="1"/>
    </xf>
    <xf numFmtId="0" fontId="30" fillId="6" borderId="0" xfId="0" applyFont="1" applyFill="1" applyBorder="1" applyAlignment="1">
      <alignment horizontal="left" wrapText="1"/>
    </xf>
    <xf numFmtId="0" fontId="0" fillId="6" borderId="0" xfId="0" applyFont="1" applyFill="1" applyAlignment="1">
      <alignment horizontal="left" vertical="top" wrapText="1"/>
    </xf>
    <xf numFmtId="0" fontId="20" fillId="6" borderId="0" xfId="0" applyFont="1" applyFill="1" applyAlignment="1">
      <alignment horizontal="left" vertical="top" wrapText="1"/>
    </xf>
    <xf numFmtId="0" fontId="0" fillId="8" borderId="0" xfId="0" applyFill="1" applyAlignment="1">
      <alignment horizontal="left" wrapText="1"/>
    </xf>
    <xf numFmtId="0" fontId="12" fillId="8" borderId="0" xfId="0" applyFont="1" applyFill="1" applyBorder="1" applyAlignment="1">
      <alignment horizontal="left" vertical="center" wrapText="1"/>
    </xf>
    <xf numFmtId="0" fontId="12" fillId="8" borderId="11" xfId="0" applyFont="1" applyFill="1" applyBorder="1" applyAlignment="1">
      <alignment horizontal="center" vertical="top" wrapText="1"/>
    </xf>
    <xf numFmtId="0" fontId="12" fillId="8" borderId="12" xfId="0" applyFont="1" applyFill="1" applyBorder="1" applyAlignment="1">
      <alignment horizontal="center" vertical="top" wrapText="1"/>
    </xf>
    <xf numFmtId="0" fontId="12" fillId="8" borderId="13" xfId="0" applyFont="1" applyFill="1" applyBorder="1" applyAlignment="1">
      <alignment horizontal="center" vertical="top" wrapText="1"/>
    </xf>
    <xf numFmtId="0" fontId="24" fillId="6" borderId="0" xfId="0" applyFont="1" applyFill="1" applyAlignment="1">
      <alignment horizontal="center" vertical="center" wrapText="1"/>
    </xf>
    <xf numFmtId="0" fontId="29" fillId="6" borderId="0" xfId="0" applyFont="1" applyFill="1" applyBorder="1" applyAlignment="1">
      <alignment horizontal="center" wrapText="1"/>
    </xf>
    <xf numFmtId="0" fontId="19" fillId="18" borderId="0" xfId="0" applyFont="1" applyFill="1" applyAlignment="1">
      <alignment vertical="center"/>
    </xf>
    <xf numFmtId="0" fontId="19" fillId="18" borderId="0" xfId="0" applyFont="1" applyFill="1" applyBorder="1"/>
    <xf numFmtId="171" fontId="19" fillId="0" borderId="0" xfId="0" applyNumberFormat="1" applyFont="1" applyFill="1" applyBorder="1" applyAlignment="1">
      <alignment horizontal="center" vertical="center"/>
    </xf>
    <xf numFmtId="173" fontId="19" fillId="0" borderId="0" xfId="0" applyNumberFormat="1" applyFont="1" applyFill="1" applyBorder="1" applyAlignment="1">
      <alignment horizontal="center" vertical="center"/>
    </xf>
    <xf numFmtId="2" fontId="19" fillId="0" borderId="1" xfId="0" applyNumberFormat="1" applyFont="1" applyFill="1" applyBorder="1" applyAlignment="1">
      <alignment horizontal="center" vertical="center" wrapText="1"/>
    </xf>
    <xf numFmtId="2" fontId="19" fillId="0" borderId="3" xfId="0" applyNumberFormat="1" applyFont="1" applyFill="1" applyBorder="1" applyAlignment="1">
      <alignment horizontal="center" vertical="center"/>
    </xf>
    <xf numFmtId="0" fontId="76" fillId="0" borderId="4" xfId="0" applyFont="1" applyFill="1" applyBorder="1" applyAlignment="1">
      <alignment horizontal="center" vertical="center"/>
    </xf>
    <xf numFmtId="1" fontId="19" fillId="0" borderId="3" xfId="0" applyNumberFormat="1" applyFont="1" applyFill="1" applyBorder="1" applyAlignment="1">
      <alignment horizontal="center" vertical="center"/>
    </xf>
    <xf numFmtId="167" fontId="19" fillId="0" borderId="3" xfId="0" applyNumberFormat="1" applyFont="1" applyFill="1" applyBorder="1" applyAlignment="1">
      <alignment horizontal="center" vertical="center"/>
    </xf>
    <xf numFmtId="1" fontId="19" fillId="0" borderId="10" xfId="0" applyNumberFormat="1" applyFont="1" applyFill="1" applyBorder="1" applyAlignment="1">
      <alignment horizontal="center" vertical="center"/>
    </xf>
    <xf numFmtId="0" fontId="76" fillId="0" borderId="5" xfId="0" applyFont="1" applyFill="1" applyBorder="1" applyAlignment="1">
      <alignment horizontal="center" vertical="center"/>
    </xf>
    <xf numFmtId="0" fontId="76" fillId="0" borderId="2" xfId="0" applyFont="1" applyFill="1" applyBorder="1" applyAlignment="1">
      <alignment horizontal="center" vertical="center" wrapText="1"/>
    </xf>
    <xf numFmtId="0" fontId="76" fillId="0" borderId="2" xfId="0" applyFont="1" applyFill="1" applyBorder="1" applyAlignment="1">
      <alignment horizontal="center" wrapText="1"/>
    </xf>
    <xf numFmtId="174" fontId="19" fillId="0" borderId="0" xfId="0" applyNumberFormat="1" applyFont="1" applyFill="1" applyAlignment="1">
      <alignment vertical="center"/>
    </xf>
    <xf numFmtId="0" fontId="14" fillId="6" borderId="0" xfId="0" applyFont="1" applyFill="1" applyAlignment="1">
      <alignment horizontal="left" wrapText="1"/>
    </xf>
    <xf numFmtId="0" fontId="29" fillId="6" borderId="0" xfId="0" applyFont="1" applyFill="1" applyAlignment="1">
      <alignment vertical="center"/>
    </xf>
    <xf numFmtId="0" fontId="29" fillId="6" borderId="0" xfId="0" applyFont="1" applyFill="1" applyAlignment="1"/>
    <xf numFmtId="0" fontId="62" fillId="8" borderId="0" xfId="0" applyFont="1" applyFill="1" applyAlignment="1">
      <alignment vertical="center"/>
    </xf>
    <xf numFmtId="0" fontId="31" fillId="0" borderId="0" xfId="0" applyFont="1" applyFill="1"/>
    <xf numFmtId="2" fontId="31" fillId="0" borderId="0" xfId="0" applyNumberFormat="1" applyFont="1" applyFill="1" applyAlignment="1">
      <alignment vertical="center"/>
    </xf>
    <xf numFmtId="0" fontId="6" fillId="0" borderId="0" xfId="0" applyFont="1" applyFill="1"/>
    <xf numFmtId="0" fontId="64" fillId="0" borderId="0" xfId="0" applyFont="1" applyFill="1" applyAlignment="1">
      <alignment horizontal="center" vertical="center" readingOrder="1"/>
    </xf>
  </cellXfs>
  <cellStyles count="4">
    <cellStyle name="Bad" xfId="1" builtinId="27"/>
    <cellStyle name="Neutral" xfId="2" builtinId="28"/>
    <cellStyle name="Normal" xfId="0" builtinId="0"/>
    <cellStyle name="Normal_Södertälje" xfId="3"/>
  </cellStyles>
  <dxfs count="38">
    <dxf>
      <fill>
        <patternFill>
          <bgColor theme="5"/>
        </patternFill>
      </fill>
    </dxf>
    <dxf>
      <fill>
        <patternFill>
          <bgColor theme="9" tint="0.39994506668294322"/>
        </patternFill>
      </fill>
    </dxf>
    <dxf>
      <fill>
        <patternFill>
          <bgColor theme="7" tint="0.59996337778862885"/>
        </patternFill>
      </fill>
    </dxf>
    <dxf>
      <fill>
        <patternFill>
          <bgColor theme="4"/>
        </patternFill>
      </fill>
    </dxf>
    <dxf>
      <fill>
        <patternFill>
          <bgColor theme="9" tint="0.59996337778862885"/>
        </patternFill>
      </fill>
    </dxf>
    <dxf>
      <fill>
        <patternFill>
          <bgColor theme="5"/>
        </patternFill>
      </fill>
    </dxf>
    <dxf>
      <fill>
        <patternFill>
          <bgColor theme="9" tint="0.39994506668294322"/>
        </patternFill>
      </fill>
    </dxf>
    <dxf>
      <fill>
        <patternFill>
          <bgColor theme="7" tint="0.59996337778862885"/>
        </patternFill>
      </fill>
    </dxf>
    <dxf>
      <fill>
        <patternFill>
          <bgColor rgb="FFCC9900"/>
        </patternFill>
      </fill>
    </dxf>
    <dxf>
      <fill>
        <patternFill>
          <bgColor theme="5"/>
        </patternFill>
      </fill>
    </dxf>
    <dxf>
      <fill>
        <patternFill>
          <bgColor theme="9" tint="0.39994506668294322"/>
        </patternFill>
      </fill>
    </dxf>
    <dxf>
      <fill>
        <patternFill>
          <bgColor theme="7" tint="0.59996337778862885"/>
        </patternFill>
      </fill>
    </dxf>
    <dxf>
      <fill>
        <patternFill>
          <bgColor theme="7" tint="-0.24994659260841701"/>
        </patternFill>
      </fill>
    </dxf>
    <dxf>
      <fill>
        <patternFill>
          <bgColor theme="8"/>
        </patternFill>
      </fill>
    </dxf>
    <dxf>
      <fill>
        <patternFill>
          <bgColor theme="9" tint="0.5999633777886288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strike val="0"/>
        <outline val="0"/>
        <shadow val="0"/>
        <u val="none"/>
        <vertAlign val="baseline"/>
        <sz val="11"/>
        <color auto="1"/>
        <name val="Calibri"/>
        <scheme val="minor"/>
      </font>
      <fill>
        <patternFill patternType="solid">
          <fgColor indexed="64"/>
          <bgColor theme="0"/>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colors>
    <mruColors>
      <color rgb="FFCC9900"/>
      <color rgb="FFCC9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546345238205047"/>
          <c:y val="5.2812062774149231E-2"/>
          <c:w val="0.73874425685335909"/>
          <c:h val="0.81797417161236319"/>
        </c:manualLayout>
      </c:layout>
      <c:barChart>
        <c:barDir val="bar"/>
        <c:grouping val="percentStacked"/>
        <c:varyColors val="0"/>
        <c:ser>
          <c:idx val="0"/>
          <c:order val="0"/>
          <c:spPr>
            <a:solidFill>
              <a:schemeClr val="accent6">
                <a:lumMod val="75000"/>
              </a:schemeClr>
            </a:solidFill>
            <a:ln>
              <a:noFill/>
            </a:ln>
            <a:effectLst/>
          </c:spPr>
          <c:invertIfNegative val="0"/>
          <c:dLbls>
            <c:dLbl>
              <c:idx val="0"/>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sv-SE"/>
                </a:p>
              </c:txPr>
              <c:dLblPos val="inBase"/>
              <c:showLegendKey val="0"/>
              <c:showVal val="1"/>
              <c:showCatName val="0"/>
              <c:showSerName val="0"/>
              <c:showPercent val="0"/>
              <c:showBubbleSize val="0"/>
              <c:separator> </c:separator>
              <c:extLst>
                <c:ext xmlns:c15="http://schemas.microsoft.com/office/drawing/2012/chart" uri="{CE6537A1-D6FC-4f65-9D91-7224C49458BB}">
                  <c15:layout>
                    <c:manualLayout>
                      <c:w val="0.14586497688760103"/>
                      <c:h val="6.0173306984148807E-2"/>
                    </c:manualLayout>
                  </c15:layout>
                </c:ext>
                <c:ext xmlns:c16="http://schemas.microsoft.com/office/drawing/2014/chart" uri="{C3380CC4-5D6E-409C-BE32-E72D297353CC}">
                  <c16:uniqueId val="{00000000-E2D4-4062-BF62-DE9721A64657}"/>
                </c:ext>
              </c:extLst>
            </c:dLbl>
            <c:dLbl>
              <c:idx val="1"/>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sv-SE"/>
                </a:p>
              </c:txPr>
              <c:dLblPos val="inBase"/>
              <c:showLegendKey val="0"/>
              <c:showVal val="1"/>
              <c:showCatName val="0"/>
              <c:showSerName val="0"/>
              <c:showPercent val="0"/>
              <c:showBubbleSize val="0"/>
              <c:separator> </c:separator>
              <c:extLst>
                <c:ext xmlns:c15="http://schemas.microsoft.com/office/drawing/2012/chart" uri="{CE6537A1-D6FC-4f65-9D91-7224C49458BB}">
                  <c15:layout>
                    <c:manualLayout>
                      <c:w val="0.13463162568704767"/>
                      <c:h val="6.0173306984148807E-2"/>
                    </c:manualLayout>
                  </c15:layout>
                </c:ext>
                <c:ext xmlns:c16="http://schemas.microsoft.com/office/drawing/2014/chart" uri="{C3380CC4-5D6E-409C-BE32-E72D297353CC}">
                  <c16:uniqueId val="{00000001-E2D4-4062-BF62-DE9721A64657}"/>
                </c:ext>
              </c:extLst>
            </c:dLbl>
            <c:dLbl>
              <c:idx val="2"/>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sv-SE"/>
                </a:p>
              </c:txPr>
              <c:dLblPos val="inBase"/>
              <c:showLegendKey val="0"/>
              <c:showVal val="1"/>
              <c:showCatName val="0"/>
              <c:showSerName val="0"/>
              <c:showPercent val="0"/>
              <c:showBubbleSize val="0"/>
              <c:separator> </c:separator>
              <c:extLst>
                <c:ext xmlns:c15="http://schemas.microsoft.com/office/drawing/2012/chart" uri="{CE6537A1-D6FC-4f65-9D91-7224C49458BB}">
                  <c15:layout>
                    <c:manualLayout>
                      <c:w val="0.1418098255557855"/>
                      <c:h val="6.0173306984148807E-2"/>
                    </c:manualLayout>
                  </c15:layout>
                </c:ext>
                <c:ext xmlns:c16="http://schemas.microsoft.com/office/drawing/2014/chart" uri="{C3380CC4-5D6E-409C-BE32-E72D297353CC}">
                  <c16:uniqueId val="{00000002-E2D4-4062-BF62-DE9721A64657}"/>
                </c:ext>
              </c:extLst>
            </c:dLbl>
            <c:dLbl>
              <c:idx val="3"/>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sv-SE"/>
                </a:p>
              </c:txPr>
              <c:dLblPos val="inBase"/>
              <c:showLegendKey val="0"/>
              <c:showVal val="1"/>
              <c:showCatName val="0"/>
              <c:showSerName val="0"/>
              <c:showPercent val="0"/>
              <c:showBubbleSize val="0"/>
              <c:separator> </c:separator>
              <c:extLst>
                <c:ext xmlns:c15="http://schemas.microsoft.com/office/drawing/2012/chart" uri="{CE6537A1-D6FC-4f65-9D91-7224C49458BB}">
                  <c15:layout>
                    <c:manualLayout>
                      <c:w val="0.14460684155313905"/>
                      <c:h val="6.0173306984148807E-2"/>
                    </c:manualLayout>
                  </c15:layout>
                </c:ext>
                <c:ext xmlns:c16="http://schemas.microsoft.com/office/drawing/2014/chart" uri="{C3380CC4-5D6E-409C-BE32-E72D297353CC}">
                  <c16:uniqueId val="{00000003-E2D4-4062-BF62-DE9721A64657}"/>
                </c:ext>
              </c:extLst>
            </c:dLbl>
            <c:dLbl>
              <c:idx val="4"/>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sv-SE"/>
                </a:p>
              </c:txPr>
              <c:dLblPos val="inBase"/>
              <c:showLegendKey val="0"/>
              <c:showVal val="1"/>
              <c:showCatName val="0"/>
              <c:showSerName val="0"/>
              <c:showPercent val="0"/>
              <c:showBubbleSize val="0"/>
              <c:separator> </c:separator>
              <c:extLst>
                <c:ext xmlns:c15="http://schemas.microsoft.com/office/drawing/2012/chart" uri="{CE6537A1-D6FC-4f65-9D91-7224C49458BB}">
                  <c15:layout>
                    <c:manualLayout>
                      <c:w val="0.14137163640737968"/>
                      <c:h val="6.0173306984148807E-2"/>
                    </c:manualLayout>
                  </c15:layout>
                </c:ext>
                <c:ext xmlns:c16="http://schemas.microsoft.com/office/drawing/2014/chart" uri="{C3380CC4-5D6E-409C-BE32-E72D297353CC}">
                  <c16:uniqueId val="{00000004-E2D4-4062-BF62-DE9721A64657}"/>
                </c:ext>
              </c:extLst>
            </c:dLbl>
            <c:dLbl>
              <c:idx val="5"/>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sv-SE"/>
                </a:p>
              </c:txPr>
              <c:dLblPos val="inBase"/>
              <c:showLegendKey val="0"/>
              <c:showVal val="1"/>
              <c:showCatName val="0"/>
              <c:showSerName val="0"/>
              <c:showPercent val="0"/>
              <c:showBubbleSize val="0"/>
              <c:extLst>
                <c:ext xmlns:c16="http://schemas.microsoft.com/office/drawing/2014/chart" uri="{C3380CC4-5D6E-409C-BE32-E72D297353CC}">
                  <c16:uniqueId val="{00000005-E2D4-4062-BF62-DE9721A64657}"/>
                </c:ext>
              </c:extLst>
            </c:dLbl>
            <c:dLbl>
              <c:idx val="6"/>
              <c:layout>
                <c:manualLayout>
                  <c:x val="6.2632920618241147E-2"/>
                  <c:y val="-4.3026912825780547E-3"/>
                </c:manualLayout>
              </c:layout>
              <c:spPr>
                <a:noFill/>
                <a:ln>
                  <a:noFill/>
                </a:ln>
                <a:effectLst/>
              </c:spPr>
              <c:txPr>
                <a:bodyPr rot="0" spcFirstLastPara="1" vertOverflow="ellipsis" vert="horz" wrap="square" lIns="38100" tIns="19050" rIns="38100" bIns="19050" anchor="ctr" anchorCtr="0">
                  <a:spAutoFit/>
                </a:bodyPr>
                <a:lstStyle/>
                <a:p>
                  <a:pPr algn="r">
                    <a:defRPr sz="900" b="0" i="0" u="none" strike="noStrike" kern="1200" baseline="0">
                      <a:solidFill>
                        <a:schemeClr val="tx1">
                          <a:lumMod val="75000"/>
                          <a:lumOff val="25000"/>
                        </a:schemeClr>
                      </a:solidFill>
                      <a:latin typeface="+mn-lt"/>
                      <a:ea typeface="+mn-ea"/>
                      <a:cs typeface="+mn-cs"/>
                    </a:defRPr>
                  </a:pPr>
                  <a:endParaRPr lang="sv-SE"/>
                </a:p>
              </c:txPr>
              <c:dLblPos val="ctr"/>
              <c:showLegendKey val="0"/>
              <c:showVal val="1"/>
              <c:showCatName val="0"/>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6-E2D4-4062-BF62-DE9721A646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sv-SE"/>
              </a:p>
            </c:txPr>
            <c:dLblPos val="inBase"/>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cap="flat" cmpd="sng" algn="ctr">
                      <a:noFill/>
                      <a:round/>
                    </a:ln>
                    <a:effectLst/>
                  </c:spPr>
                </c15:leaderLines>
              </c:ext>
            </c:extLst>
          </c:dLbls>
          <c:cat>
            <c:strRef>
              <c:f>'1 Gödselvärdesberäknare'!$D$45:$D$51</c:f>
              <c:strCache>
                <c:ptCount val="7"/>
                <c:pt idx="0">
                  <c:v>Bly (Pb)</c:v>
                </c:pt>
                <c:pt idx="1">
                  <c:v>Kadmium (Cd)</c:v>
                </c:pt>
                <c:pt idx="2">
                  <c:v>Koppar (Cu)*</c:v>
                </c:pt>
                <c:pt idx="3">
                  <c:v>Krom (Cr)</c:v>
                </c:pt>
                <c:pt idx="4">
                  <c:v>Kvicksilver (Hg)</c:v>
                </c:pt>
                <c:pt idx="5">
                  <c:v>Nickel (Ni)</c:v>
                </c:pt>
                <c:pt idx="6">
                  <c:v>Zink (Zn)</c:v>
                </c:pt>
              </c:strCache>
            </c:strRef>
          </c:cat>
          <c:val>
            <c:numRef>
              <c:f>'1 Gödselvärdesberäknare'!$H$45:$H$51</c:f>
              <c:numCache>
                <c:formatCode>0.00</c:formatCode>
                <c:ptCount val="7"/>
                <c:pt idx="0">
                  <c:v>4.4562940392306204E-2</c:v>
                </c:pt>
                <c:pt idx="1">
                  <c:v>1.3283184155398966E-2</c:v>
                </c:pt>
                <c:pt idx="2" formatCode="0">
                  <c:v>0.95124738145115184</c:v>
                </c:pt>
                <c:pt idx="3" formatCode="0.0">
                  <c:v>0.11997714721005517</c:v>
                </c:pt>
                <c:pt idx="4">
                  <c:v>8.4155398971624395E-3</c:v>
                </c:pt>
                <c:pt idx="5" formatCode="0.0">
                  <c:v>0.17225290420872211</c:v>
                </c:pt>
                <c:pt idx="6" formatCode="0">
                  <c:v>9.4267758522186202</c:v>
                </c:pt>
              </c:numCache>
            </c:numRef>
          </c:val>
          <c:extLst>
            <c:ext xmlns:c16="http://schemas.microsoft.com/office/drawing/2014/chart" uri="{C3380CC4-5D6E-409C-BE32-E72D297353CC}">
              <c16:uniqueId val="{00000007-E2D4-4062-BF62-DE9721A64657}"/>
            </c:ext>
          </c:extLst>
        </c:ser>
        <c:ser>
          <c:idx val="1"/>
          <c:order val="1"/>
          <c:spPr>
            <a:solidFill>
              <a:schemeClr val="bg1">
                <a:lumMod val="95000"/>
              </a:schemeClr>
            </a:solidFill>
            <a:ln>
              <a:noFill/>
            </a:ln>
            <a:effectLst/>
          </c:spPr>
          <c:invertIfNegative val="0"/>
          <c:cat>
            <c:strRef>
              <c:f>'1 Gödselvärdesberäknare'!$D$45:$D$51</c:f>
              <c:strCache>
                <c:ptCount val="7"/>
                <c:pt idx="0">
                  <c:v>Bly (Pb)</c:v>
                </c:pt>
                <c:pt idx="1">
                  <c:v>Kadmium (Cd)</c:v>
                </c:pt>
                <c:pt idx="2">
                  <c:v>Koppar (Cu)*</c:v>
                </c:pt>
                <c:pt idx="3">
                  <c:v>Krom (Cr)</c:v>
                </c:pt>
                <c:pt idx="4">
                  <c:v>Kvicksilver (Hg)</c:v>
                </c:pt>
                <c:pt idx="5">
                  <c:v>Nickel (Ni)</c:v>
                </c:pt>
                <c:pt idx="6">
                  <c:v>Zink (Zn)</c:v>
                </c:pt>
              </c:strCache>
            </c:strRef>
          </c:cat>
          <c:val>
            <c:numRef>
              <c:f>'1 Gödselvärdesberäknare'!$J$45:$J$51</c:f>
              <c:numCache>
                <c:formatCode>0.00</c:formatCode>
                <c:ptCount val="7"/>
                <c:pt idx="0">
                  <c:v>24.955437059607693</c:v>
                </c:pt>
                <c:pt idx="1">
                  <c:v>0.73671681584460103</c:v>
                </c:pt>
                <c:pt idx="2">
                  <c:v>299.04875261854886</c:v>
                </c:pt>
                <c:pt idx="3">
                  <c:v>39.880022852789942</c:v>
                </c:pt>
                <c:pt idx="4">
                  <c:v>1.4915844601028376</c:v>
                </c:pt>
                <c:pt idx="5">
                  <c:v>24.827747095791278</c:v>
                </c:pt>
                <c:pt idx="6">
                  <c:v>590.57322414778139</c:v>
                </c:pt>
              </c:numCache>
            </c:numRef>
          </c:val>
          <c:extLst>
            <c:ext xmlns:c16="http://schemas.microsoft.com/office/drawing/2014/chart" uri="{C3380CC4-5D6E-409C-BE32-E72D297353CC}">
              <c16:uniqueId val="{00000008-E2D4-4062-BF62-DE9721A64657}"/>
            </c:ext>
          </c:extLst>
        </c:ser>
        <c:dLbls>
          <c:showLegendKey val="0"/>
          <c:showVal val="0"/>
          <c:showCatName val="0"/>
          <c:showSerName val="0"/>
          <c:showPercent val="0"/>
          <c:showBubbleSize val="0"/>
        </c:dLbls>
        <c:gapWidth val="90"/>
        <c:overlap val="100"/>
        <c:axId val="482354080"/>
        <c:axId val="482352440"/>
      </c:barChart>
      <c:catAx>
        <c:axId val="48235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sv-SE"/>
          </a:p>
        </c:txPr>
        <c:crossAx val="482352440"/>
        <c:crosses val="autoZero"/>
        <c:auto val="1"/>
        <c:lblAlgn val="ctr"/>
        <c:lblOffset val="100"/>
        <c:noMultiLvlLbl val="0"/>
      </c:catAx>
      <c:valAx>
        <c:axId val="482352440"/>
        <c:scaling>
          <c:orientation val="minMax"/>
          <c:max val="1"/>
        </c:scaling>
        <c:delete val="0"/>
        <c:axPos val="b"/>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sv-SE"/>
          </a:p>
        </c:txPr>
        <c:crossAx val="4823540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43552911069627"/>
          <c:y val="5.0925925925925923E-2"/>
          <c:w val="0.70787580402033901"/>
          <c:h val="0.71120530927719694"/>
        </c:manualLayout>
      </c:layout>
      <c:scatterChart>
        <c:scatterStyle val="lineMarker"/>
        <c:varyColors val="0"/>
        <c:ser>
          <c:idx val="0"/>
          <c:order val="0"/>
          <c:spPr>
            <a:ln w="19050" cap="rnd">
              <a:solidFill>
                <a:srgbClr val="C00000"/>
              </a:solidFill>
              <a:round/>
            </a:ln>
            <a:effectLst/>
          </c:spPr>
          <c:marker>
            <c:symbol val="circle"/>
            <c:size val="5"/>
            <c:spPr>
              <a:solidFill>
                <a:srgbClr val="C00000"/>
              </a:solidFill>
              <a:ln w="9525">
                <a:noFill/>
              </a:ln>
              <a:effectLst/>
            </c:spPr>
          </c:marker>
          <c:xVal>
            <c:numRef>
              <c:f>'2 Dosering av urea'!$AC$12:$AC$22</c:f>
              <c:numCache>
                <c:formatCode>General</c:formatCode>
                <c:ptCount val="11"/>
                <c:pt idx="0">
                  <c:v>0</c:v>
                </c:pt>
                <c:pt idx="1">
                  <c:v>10</c:v>
                </c:pt>
                <c:pt idx="2">
                  <c:v>15</c:v>
                </c:pt>
                <c:pt idx="3">
                  <c:v>20</c:v>
                </c:pt>
                <c:pt idx="4">
                  <c:v>25</c:v>
                </c:pt>
                <c:pt idx="5">
                  <c:v>30</c:v>
                </c:pt>
                <c:pt idx="6">
                  <c:v>35</c:v>
                </c:pt>
                <c:pt idx="7">
                  <c:v>40</c:v>
                </c:pt>
                <c:pt idx="8">
                  <c:v>45</c:v>
                </c:pt>
                <c:pt idx="9">
                  <c:v>50</c:v>
                </c:pt>
                <c:pt idx="10">
                  <c:v>55</c:v>
                </c:pt>
              </c:numCache>
            </c:numRef>
          </c:xVal>
          <c:yVal>
            <c:numRef>
              <c:f>'2 Dosering av urea'!$AD$12:$AD$22</c:f>
              <c:numCache>
                <c:formatCode>General</c:formatCode>
                <c:ptCount val="11"/>
                <c:pt idx="0">
                  <c:v>5</c:v>
                </c:pt>
                <c:pt idx="1">
                  <c:v>5</c:v>
                </c:pt>
                <c:pt idx="2">
                  <c:v>3.4217533734634893</c:v>
                </c:pt>
                <c:pt idx="3">
                  <c:v>1.843506746926979</c:v>
                </c:pt>
                <c:pt idx="4">
                  <c:v>0.26526012039046876</c:v>
                </c:pt>
                <c:pt idx="5">
                  <c:v>-1.312986506146042</c:v>
                </c:pt>
                <c:pt idx="6">
                  <c:v>-2.8912331326825527</c:v>
                </c:pt>
                <c:pt idx="7">
                  <c:v>-4.4694797592190625</c:v>
                </c:pt>
                <c:pt idx="8">
                  <c:v>-6.0477263857555741</c:v>
                </c:pt>
                <c:pt idx="9">
                  <c:v>-7.6259730122920839</c:v>
                </c:pt>
                <c:pt idx="10">
                  <c:v>-9.2042196388285955</c:v>
                </c:pt>
              </c:numCache>
            </c:numRef>
          </c:yVal>
          <c:smooth val="0"/>
          <c:extLst>
            <c:ext xmlns:c16="http://schemas.microsoft.com/office/drawing/2014/chart" uri="{C3380CC4-5D6E-409C-BE32-E72D297353CC}">
              <c16:uniqueId val="{00000000-F11E-4F14-8FF6-CBBBA860CD48}"/>
            </c:ext>
          </c:extLst>
        </c:ser>
        <c:dLbls>
          <c:showLegendKey val="0"/>
          <c:showVal val="0"/>
          <c:showCatName val="0"/>
          <c:showSerName val="0"/>
          <c:showPercent val="0"/>
          <c:showBubbleSize val="0"/>
        </c:dLbls>
        <c:axId val="477409280"/>
        <c:axId val="477409608"/>
      </c:scatterChart>
      <c:valAx>
        <c:axId val="477409280"/>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sv-SE" sz="1100" b="1"/>
                  <a:t>Tid</a:t>
                </a:r>
                <a:r>
                  <a:rPr lang="sv-SE" sz="1100" b="1" baseline="0"/>
                  <a:t> (dagar)</a:t>
                </a:r>
                <a:endParaRPr lang="sv-SE" sz="1100" b="1"/>
              </a:p>
            </c:rich>
          </c:tx>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sv-SE"/>
          </a:p>
        </c:txPr>
        <c:crossAx val="477409608"/>
        <c:crosses val="autoZero"/>
        <c:crossBetween val="midCat"/>
        <c:majorUnit val="10"/>
      </c:valAx>
      <c:valAx>
        <c:axId val="477409608"/>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sv-SE" sz="1100" b="1" i="1"/>
                  <a:t>E.</a:t>
                </a:r>
                <a:r>
                  <a:rPr lang="sv-SE" sz="1100" b="1" i="1" baseline="0"/>
                  <a:t> coli </a:t>
                </a:r>
                <a:r>
                  <a:rPr lang="sv-SE" sz="1100" b="1" baseline="0"/>
                  <a:t>(log</a:t>
                </a:r>
                <a:r>
                  <a:rPr lang="sv-SE" sz="1100" b="1" baseline="-25000"/>
                  <a:t>10</a:t>
                </a:r>
                <a:r>
                  <a:rPr lang="sv-SE" sz="1100" b="1" baseline="0"/>
                  <a:t>/ml)</a:t>
                </a:r>
                <a:endParaRPr lang="sv-SE" sz="1100" b="1"/>
              </a:p>
            </c:rich>
          </c:tx>
          <c:layout>
            <c:manualLayout>
              <c:xMode val="edge"/>
              <c:yMode val="edge"/>
              <c:x val="4.1878462224067318E-2"/>
              <c:y val="0.16894481777842882"/>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sv-SE"/>
          </a:p>
        </c:txPr>
        <c:crossAx val="477409280"/>
        <c:crosses val="autoZero"/>
        <c:crossBetween val="midCat"/>
      </c:valAx>
      <c:spPr>
        <a:solidFill>
          <a:schemeClr val="bg1"/>
        </a:solidFill>
        <a:ln>
          <a:noFill/>
        </a:ln>
        <a:effectLst/>
      </c:spPr>
    </c:plotArea>
    <c:plotVisOnly val="1"/>
    <c:dispBlanksAs val="gap"/>
    <c:showDLblsOverMax val="0"/>
  </c:chart>
  <c:spPr>
    <a:no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683486439195106"/>
                  <c:y val="8.781459609215515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trendlineLbl>
          </c:trendline>
          <c:xVal>
            <c:numRef>
              <c:f>'2 Dosering av urea'!$AC$25:$AC$27</c:f>
              <c:numCache>
                <c:formatCode>General</c:formatCode>
                <c:ptCount val="3"/>
                <c:pt idx="0">
                  <c:v>5</c:v>
                </c:pt>
                <c:pt idx="1">
                  <c:v>10</c:v>
                </c:pt>
                <c:pt idx="2">
                  <c:v>15</c:v>
                </c:pt>
              </c:numCache>
            </c:numRef>
          </c:xVal>
          <c:yVal>
            <c:numRef>
              <c:f>'2 Dosering av urea'!$AD$25:$AD$27</c:f>
              <c:numCache>
                <c:formatCode>General</c:formatCode>
                <c:ptCount val="3"/>
                <c:pt idx="0">
                  <c:v>20</c:v>
                </c:pt>
                <c:pt idx="1">
                  <c:v>15</c:v>
                </c:pt>
                <c:pt idx="2">
                  <c:v>10</c:v>
                </c:pt>
              </c:numCache>
            </c:numRef>
          </c:yVal>
          <c:smooth val="0"/>
          <c:extLst>
            <c:ext xmlns:c16="http://schemas.microsoft.com/office/drawing/2014/chart" uri="{C3380CC4-5D6E-409C-BE32-E72D297353CC}">
              <c16:uniqueId val="{00000000-3111-42E5-99A1-62B024E60B75}"/>
            </c:ext>
          </c:extLst>
        </c:ser>
        <c:dLbls>
          <c:showLegendKey val="0"/>
          <c:showVal val="0"/>
          <c:showCatName val="0"/>
          <c:showSerName val="0"/>
          <c:showPercent val="0"/>
          <c:showBubbleSize val="0"/>
        </c:dLbls>
        <c:axId val="363603872"/>
        <c:axId val="363602232"/>
      </c:scatterChart>
      <c:valAx>
        <c:axId val="3636038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363602232"/>
        <c:crosses val="autoZero"/>
        <c:crossBetween val="midCat"/>
      </c:valAx>
      <c:valAx>
        <c:axId val="363602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36360387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3</xdr:col>
      <xdr:colOff>343273</xdr:colOff>
      <xdr:row>73</xdr:row>
      <xdr:rowOff>90767</xdr:rowOff>
    </xdr:from>
    <xdr:ext cx="9461874" cy="933449"/>
    <xdr:sp macro="" textlink="">
      <xdr:nvSpPr>
        <xdr:cNvPr id="2" name="TextBox 1"/>
        <xdr:cNvSpPr txBox="1"/>
      </xdr:nvSpPr>
      <xdr:spPr>
        <a:xfrm>
          <a:off x="4198097" y="16541002"/>
          <a:ext cx="9461874" cy="9334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sv-SE" sz="1100">
              <a:solidFill>
                <a:schemeClr val="tx1"/>
              </a:solidFill>
              <a:effectLst/>
              <a:latin typeface="+mn-lt"/>
              <a:ea typeface="+mn-ea"/>
              <a:cs typeface="+mn-cs"/>
            </a:rPr>
            <a:t>Syftet är</a:t>
          </a:r>
          <a:r>
            <a:rPr lang="sv-SE" sz="1100" baseline="0">
              <a:solidFill>
                <a:schemeClr val="tx1"/>
              </a:solidFill>
              <a:effectLst/>
              <a:latin typeface="+mn-lt"/>
              <a:ea typeface="+mn-ea"/>
              <a:cs typeface="+mn-cs"/>
            </a:rPr>
            <a:t> att detta verktyg skall underlätta vid</a:t>
          </a:r>
          <a:r>
            <a:rPr lang="sv-SE" sz="1100">
              <a:solidFill>
                <a:schemeClr val="tx1"/>
              </a:solidFill>
              <a:effectLst/>
              <a:latin typeface="+mn-lt"/>
              <a:ea typeface="+mn-ea"/>
              <a:cs typeface="+mn-cs"/>
            </a:rPr>
            <a:t> planering av ett kretsloppsprojekt</a:t>
          </a:r>
          <a:r>
            <a:rPr lang="sv-SE" sz="1100" baseline="0">
              <a:solidFill>
                <a:schemeClr val="tx1"/>
              </a:solidFill>
              <a:effectLst/>
              <a:latin typeface="+mn-lt"/>
              <a:ea typeface="+mn-ea"/>
              <a:cs typeface="+mn-cs"/>
            </a:rPr>
            <a:t> </a:t>
          </a:r>
          <a:r>
            <a:rPr lang="sv-SE" sz="1100">
              <a:solidFill>
                <a:schemeClr val="tx1"/>
              </a:solidFill>
              <a:effectLst/>
              <a:latin typeface="+mn-lt"/>
              <a:ea typeface="+mn-ea"/>
              <a:cs typeface="+mn-cs"/>
            </a:rPr>
            <a:t>och få till timing med aktörer för insamling, behandling och användning.  Verktyget tar avstamp</a:t>
          </a:r>
          <a:r>
            <a:rPr lang="sv-SE" sz="1100" baseline="0">
              <a:solidFill>
                <a:schemeClr val="tx1"/>
              </a:solidFill>
              <a:effectLst/>
              <a:latin typeface="+mn-lt"/>
              <a:ea typeface="+mn-ea"/>
              <a:cs typeface="+mn-cs"/>
            </a:rPr>
            <a:t> i när lantbrukaren behöver sitt gödsel och och utifrån angiven behandlingstid (kan beräknas med Doseringsverktyget) räknar vektyget ut när behandlings och provtagning behöver vara avklarad och visar när brunnen står tom så att renhållningen kan tömma klosettvatten.</a:t>
          </a:r>
        </a:p>
        <a:p>
          <a:pPr marL="0" marR="0" lvl="0" indent="0" defTabSz="914400" eaLnBrk="1" fontAlgn="auto" latinLnBrk="0" hangingPunct="1">
            <a:lnSpc>
              <a:spcPct val="100000"/>
            </a:lnSpc>
            <a:spcBef>
              <a:spcPts val="0"/>
            </a:spcBef>
            <a:spcAft>
              <a:spcPts val="0"/>
            </a:spcAft>
            <a:buClrTx/>
            <a:buSzTx/>
            <a:buFontTx/>
            <a:buNone/>
            <a:tabLst/>
            <a:defRPr/>
          </a:pPr>
          <a:r>
            <a:rPr lang="sv-SE" sz="1100" baseline="0">
              <a:solidFill>
                <a:schemeClr val="tx1"/>
              </a:solidFill>
              <a:effectLst/>
              <a:latin typeface="+mn-lt"/>
              <a:ea typeface="+mn-ea"/>
              <a:cs typeface="+mn-cs"/>
            </a:rPr>
            <a:t>Gödselspridning begränsas av hur området klassas i fråga om nitratkänslighet vilket kan vara bra att vara medvetande om från kommunens sida.</a:t>
          </a:r>
        </a:p>
        <a:p>
          <a:pPr marL="0" marR="0" lvl="0" indent="0" defTabSz="914400" eaLnBrk="1" fontAlgn="auto" latinLnBrk="0" hangingPunct="1">
            <a:lnSpc>
              <a:spcPct val="100000"/>
            </a:lnSpc>
            <a:spcBef>
              <a:spcPts val="0"/>
            </a:spcBef>
            <a:spcAft>
              <a:spcPts val="0"/>
            </a:spcAft>
            <a:buClrTx/>
            <a:buSzTx/>
            <a:buFontTx/>
            <a:buNone/>
            <a:tabLst/>
            <a:defRPr/>
          </a:pPr>
          <a:endParaRPr lang="sv-SE" sz="1100">
            <a:solidFill>
              <a:schemeClr val="tx1"/>
            </a:solidFill>
            <a:effectLst/>
            <a:latin typeface="+mn-lt"/>
            <a:ea typeface="+mn-ea"/>
            <a:cs typeface="+mn-cs"/>
          </a:endParaRPr>
        </a:p>
        <a:p>
          <a:endParaRPr lang="sv-SE" sz="1200"/>
        </a:p>
      </xdr:txBody>
    </xdr:sp>
    <xdr:clientData/>
  </xdr:oneCellAnchor>
  <xdr:twoCellAnchor editAs="oneCell">
    <xdr:from>
      <xdr:col>1</xdr:col>
      <xdr:colOff>16061</xdr:colOff>
      <xdr:row>2</xdr:row>
      <xdr:rowOff>171822</xdr:rowOff>
    </xdr:from>
    <xdr:to>
      <xdr:col>3</xdr:col>
      <xdr:colOff>706157</xdr:colOff>
      <xdr:row>9</xdr:row>
      <xdr:rowOff>156882</xdr:rowOff>
    </xdr:to>
    <xdr:pic>
      <xdr:nvPicPr>
        <xdr:cNvPr id="7" name="Picture 6"/>
        <xdr:cNvPicPr>
          <a:picLocks noChangeAspect="1"/>
        </xdr:cNvPicPr>
      </xdr:nvPicPr>
      <xdr:blipFill>
        <a:blip xmlns:r="http://schemas.openxmlformats.org/officeDocument/2006/relationships" r:embed="rId1"/>
        <a:stretch>
          <a:fillRect/>
        </a:stretch>
      </xdr:blipFill>
      <xdr:spPr>
        <a:xfrm>
          <a:off x="845296" y="1471704"/>
          <a:ext cx="3887508" cy="135217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464863</xdr:colOff>
      <xdr:row>20</xdr:row>
      <xdr:rowOff>0</xdr:rowOff>
    </xdr:from>
    <xdr:to>
      <xdr:col>9</xdr:col>
      <xdr:colOff>226284</xdr:colOff>
      <xdr:row>36</xdr:row>
      <xdr:rowOff>148166</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999787</xdr:colOff>
      <xdr:row>8</xdr:row>
      <xdr:rowOff>53773</xdr:rowOff>
    </xdr:from>
    <xdr:to>
      <xdr:col>14</xdr:col>
      <xdr:colOff>425585</xdr:colOff>
      <xdr:row>14</xdr:row>
      <xdr:rowOff>276969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14186</xdr:colOff>
      <xdr:row>18</xdr:row>
      <xdr:rowOff>60527</xdr:rowOff>
    </xdr:from>
    <xdr:to>
      <xdr:col>38</xdr:col>
      <xdr:colOff>161452</xdr:colOff>
      <xdr:row>28</xdr:row>
      <xdr:rowOff>7025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ools%20Draft%205%20may%202025_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retsloppets årshjul"/>
      <sheetName val="3 Tolkning analysdata"/>
      <sheetName val="1 Gödselvärde"/>
      <sheetName val="2 Dosering av urea"/>
      <sheetName val="Tools Draft 5 may 2025_3"/>
    </sheetNames>
    <sheetDataSet>
      <sheetData sheetId="0"/>
      <sheetData sheetId="1"/>
      <sheetData sheetId="2">
        <row r="78">
          <cell r="C78" t="str">
            <v>Nickel (Ni)</v>
          </cell>
        </row>
      </sheetData>
      <sheetData sheetId="3">
        <row r="86">
          <cell r="AB86">
            <v>0</v>
          </cell>
        </row>
      </sheetData>
      <sheetData sheetId="4" refreshError="1"/>
    </sheetDataSet>
  </externalBook>
</externalLink>
</file>

<file path=xl/tables/table1.xml><?xml version="1.0" encoding="utf-8"?>
<table xmlns="http://schemas.openxmlformats.org/spreadsheetml/2006/main" id="2" name="Nitrat_begr" displayName="Nitrat_begr" ref="G62:S65" totalsRowShown="0">
  <autoFilter ref="G62:S65"/>
  <tableColumns count="13">
    <tableColumn id="1" name="Område"/>
    <tableColumn id="2" name="Jan" dataDxfId="37"/>
    <tableColumn id="3" name="Feb" dataDxfId="36"/>
    <tableColumn id="4" name="Mars" dataDxfId="35"/>
    <tableColumn id="5" name="April" dataDxfId="34"/>
    <tableColumn id="6" name="Maj" dataDxfId="33"/>
    <tableColumn id="7" name="Juni" dataDxfId="32"/>
    <tableColumn id="8" name="Juli" dataDxfId="31"/>
    <tableColumn id="9" name="Aug" dataDxfId="30"/>
    <tableColumn id="10" name="Sept" dataDxfId="29"/>
    <tableColumn id="11" name="Okt" dataDxfId="28"/>
    <tableColumn id="12" name="Nov" dataDxfId="27"/>
    <tableColumn id="13" name="Dec" dataDxfId="26"/>
  </tableColumns>
  <tableStyleInfo name="TableStyleMedium2" showFirstColumn="0" showLastColumn="0" showRowStripes="1" showColumnStripes="0"/>
</table>
</file>

<file path=xl/tables/table2.xml><?xml version="1.0" encoding="utf-8"?>
<table xmlns="http://schemas.openxmlformats.org/spreadsheetml/2006/main" id="4" name="temps" displayName="temps" ref="C26:D29" totalsRowShown="0" headerRowDxfId="25" dataDxfId="24">
  <autoFilter ref="C26:D29"/>
  <tableColumns count="2">
    <tableColumn id="1" name="månad" dataDxfId="23"/>
    <tableColumn id="2" name="temp" dataDxfId="22"/>
  </tableColumns>
  <tableStyleInfo name="TableStyleMedium2" showFirstColumn="0" showLastColumn="0" showRowStripes="1" showColumnStripes="0"/>
</table>
</file>

<file path=xl/tables/table3.xml><?xml version="1.0" encoding="utf-8"?>
<table xmlns="http://schemas.openxmlformats.org/spreadsheetml/2006/main" id="3" name="enheter" displayName="enheter" ref="A3:E10" totalsRowShown="0" headerRowDxfId="21" dataDxfId="20">
  <autoFilter ref="A3:E10"/>
  <tableColumns count="5">
    <tableColumn id="1" name="näring" dataDxfId="19"/>
    <tableColumn id="5" name="urea" dataDxfId="18"/>
    <tableColumn id="2" name="metall" dataDxfId="17"/>
    <tableColumn id="3" name="TS" dataDxfId="16"/>
    <tableColumn id="4" name="bact"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M72"/>
  <sheetViews>
    <sheetView topLeftCell="C2" zoomScale="129" zoomScaleNormal="85" workbookViewId="0">
      <selection activeCell="DJ34" sqref="DJ34"/>
    </sheetView>
  </sheetViews>
  <sheetFormatPr defaultRowHeight="14.5" x14ac:dyDescent="0.35"/>
  <cols>
    <col min="1" max="1" width="3.54296875" style="371" customWidth="1"/>
    <col min="2" max="2" width="22.81640625" customWidth="1"/>
    <col min="3" max="3" width="23" customWidth="1"/>
    <col min="4" max="4" width="13.7265625" customWidth="1"/>
    <col min="5" max="5" width="19.81640625" customWidth="1"/>
    <col min="6" max="6" width="5.54296875" customWidth="1"/>
    <col min="7" max="7" width="31.81640625" customWidth="1"/>
    <col min="8" max="403" width="0.453125" customWidth="1"/>
  </cols>
  <sheetData>
    <row r="1" spans="1:403" ht="69" hidden="1" customHeight="1" x14ac:dyDescent="0.35">
      <c r="A1" s="324"/>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row>
    <row r="2" spans="1:403" ht="33.5" x14ac:dyDescent="0.35">
      <c r="A2" s="324"/>
      <c r="B2" s="9" t="s">
        <v>306</v>
      </c>
      <c r="C2" s="8"/>
      <c r="D2" s="8"/>
      <c r="I2" s="8"/>
      <c r="J2" s="8"/>
      <c r="K2" s="8"/>
      <c r="L2" s="8"/>
      <c r="M2" s="8"/>
      <c r="N2" s="8"/>
      <c r="O2" s="8"/>
      <c r="P2" s="8"/>
      <c r="Q2" s="8"/>
      <c r="R2" s="8"/>
      <c r="S2" s="8"/>
      <c r="T2" s="8"/>
      <c r="U2" s="8"/>
      <c r="V2" s="8"/>
      <c r="W2" s="8"/>
      <c r="X2" s="8"/>
      <c r="Y2" s="8"/>
      <c r="Z2" s="8"/>
      <c r="AA2" s="8"/>
      <c r="AB2" s="8"/>
      <c r="AC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row>
    <row r="3" spans="1:403" ht="16.5" customHeight="1" x14ac:dyDescent="0.35">
      <c r="A3" s="324"/>
      <c r="B3" s="9"/>
      <c r="C3" s="8"/>
      <c r="D3" s="8"/>
      <c r="I3" s="331"/>
      <c r="J3" s="331"/>
      <c r="K3" s="331"/>
      <c r="L3" s="331"/>
      <c r="M3" s="331"/>
      <c r="N3" s="331"/>
      <c r="O3" s="331"/>
      <c r="W3" s="331"/>
      <c r="X3" s="331"/>
      <c r="Y3" s="331"/>
      <c r="Z3" s="331"/>
      <c r="AK3" s="331"/>
      <c r="AL3" s="331"/>
      <c r="AM3" s="331"/>
      <c r="AN3" s="331"/>
      <c r="AO3" s="331"/>
      <c r="AP3" s="331"/>
      <c r="AQ3" s="331"/>
      <c r="AR3" s="331"/>
      <c r="AS3" s="331"/>
      <c r="AT3" s="331"/>
      <c r="AU3" s="331"/>
      <c r="AV3" s="331"/>
      <c r="AW3" s="331"/>
      <c r="AX3" s="331"/>
      <c r="AY3" s="331"/>
      <c r="AZ3" s="331"/>
      <c r="BA3" s="331"/>
      <c r="BB3" s="331"/>
      <c r="BC3" s="331"/>
      <c r="BD3" s="331"/>
      <c r="BE3" s="331"/>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row>
    <row r="4" spans="1:403" ht="16.5" customHeight="1" x14ac:dyDescent="0.35">
      <c r="A4" s="324"/>
      <c r="B4" s="9"/>
      <c r="C4" s="8"/>
      <c r="D4" s="270" t="s">
        <v>311</v>
      </c>
      <c r="E4" s="8"/>
      <c r="F4" s="8"/>
      <c r="G4" s="8"/>
      <c r="I4" s="331"/>
      <c r="J4" s="331"/>
      <c r="K4" s="331"/>
      <c r="L4" s="331"/>
      <c r="M4" s="331"/>
      <c r="N4" s="331"/>
      <c r="O4" s="331"/>
      <c r="W4" s="331"/>
      <c r="X4" s="331"/>
      <c r="Y4" s="331"/>
      <c r="Z4" s="331"/>
      <c r="AK4" s="331"/>
      <c r="AL4" s="331"/>
      <c r="AM4" s="331"/>
      <c r="AN4" s="331"/>
      <c r="AO4" s="331"/>
      <c r="AP4" s="331"/>
      <c r="AQ4" s="331"/>
      <c r="AR4" s="331"/>
      <c r="AS4" s="331"/>
      <c r="AT4" s="331"/>
      <c r="AU4" s="331"/>
      <c r="AV4" s="331"/>
      <c r="AW4" s="331"/>
      <c r="AX4" s="331"/>
      <c r="AY4" s="331"/>
      <c r="AZ4" s="331"/>
      <c r="BA4" s="331"/>
      <c r="BB4" s="331"/>
      <c r="BC4" s="331"/>
      <c r="BD4" s="331"/>
      <c r="BE4" s="331"/>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row>
    <row r="5" spans="1:403" ht="15.75" customHeight="1" x14ac:dyDescent="0.35">
      <c r="A5" s="324"/>
      <c r="B5" s="8"/>
      <c r="C5" s="8"/>
      <c r="D5" s="332" t="s">
        <v>308</v>
      </c>
      <c r="E5" s="332"/>
      <c r="F5" s="324" t="s">
        <v>348</v>
      </c>
      <c r="G5" s="331" t="s">
        <v>347</v>
      </c>
      <c r="I5" s="324"/>
      <c r="J5" s="324"/>
      <c r="M5" s="331"/>
      <c r="N5" s="331"/>
      <c r="O5" s="331"/>
      <c r="P5" s="331"/>
      <c r="Q5" s="331"/>
      <c r="R5" s="331"/>
      <c r="S5" s="331"/>
      <c r="W5" s="331"/>
      <c r="X5" s="331"/>
      <c r="Y5" s="331"/>
      <c r="Z5" s="331"/>
      <c r="AK5" s="331"/>
      <c r="AL5" s="331"/>
      <c r="AM5" s="331"/>
      <c r="AN5" s="331"/>
      <c r="AO5" s="331"/>
      <c r="AP5" s="331"/>
      <c r="AQ5" s="331"/>
      <c r="AR5" s="331"/>
      <c r="AS5" s="331"/>
      <c r="AT5" s="331"/>
      <c r="AU5" s="331"/>
      <c r="AV5" s="331"/>
      <c r="AW5" s="331"/>
      <c r="AX5" s="331"/>
      <c r="AY5" s="331"/>
      <c r="AZ5" s="331"/>
      <c r="BA5" s="331"/>
      <c r="BB5" s="331"/>
      <c r="BC5" s="331"/>
      <c r="BD5" s="331"/>
      <c r="BE5" s="331"/>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row>
    <row r="6" spans="1:403" x14ac:dyDescent="0.35">
      <c r="A6" s="324"/>
      <c r="B6" s="8"/>
      <c r="C6" s="8"/>
      <c r="D6" s="331" t="s">
        <v>313</v>
      </c>
      <c r="E6" s="331"/>
      <c r="F6" s="324" t="s">
        <v>349</v>
      </c>
      <c r="G6" s="331" t="s">
        <v>346</v>
      </c>
      <c r="H6" s="8"/>
      <c r="I6" s="8"/>
      <c r="J6" s="8"/>
      <c r="K6" s="8"/>
      <c r="L6" s="8"/>
      <c r="M6" s="8"/>
      <c r="N6" s="8"/>
      <c r="O6" s="8"/>
      <c r="P6" s="8"/>
      <c r="Q6" s="8"/>
      <c r="R6" s="8"/>
      <c r="S6" s="8"/>
      <c r="T6" s="8"/>
      <c r="U6" s="8"/>
      <c r="V6" s="8"/>
      <c r="W6" s="8"/>
      <c r="X6" s="8"/>
      <c r="Y6" s="8"/>
      <c r="Z6" s="8"/>
      <c r="AA6" s="8"/>
      <c r="AB6" s="8"/>
      <c r="AC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row>
    <row r="7" spans="1:403" ht="15.5" x14ac:dyDescent="0.35">
      <c r="A7" s="324"/>
      <c r="B7" s="8"/>
      <c r="C7" s="8"/>
      <c r="D7" s="333" t="s">
        <v>309</v>
      </c>
      <c r="E7" s="333"/>
      <c r="F7" s="324" t="s">
        <v>350</v>
      </c>
      <c r="G7" s="331" t="s">
        <v>345</v>
      </c>
      <c r="H7" s="471">
        <v>2025</v>
      </c>
      <c r="I7" s="471"/>
      <c r="J7" s="471"/>
      <c r="K7" s="471"/>
      <c r="L7" s="471"/>
      <c r="M7" s="471"/>
      <c r="N7" s="471"/>
      <c r="O7" s="471"/>
      <c r="P7" s="471"/>
      <c r="Q7" s="471"/>
      <c r="R7" s="471"/>
      <c r="S7" s="471"/>
      <c r="T7" s="471"/>
      <c r="U7" s="471"/>
      <c r="V7" s="471"/>
      <c r="W7" s="471"/>
      <c r="X7" s="471"/>
      <c r="Y7" s="471"/>
      <c r="Z7" s="471"/>
      <c r="AA7" s="471"/>
      <c r="AB7" s="471"/>
      <c r="AC7" s="471"/>
      <c r="AD7" s="471"/>
      <c r="AE7" s="471"/>
      <c r="AF7" s="471"/>
      <c r="AG7" s="471"/>
      <c r="AH7" s="471"/>
      <c r="AI7" s="471"/>
      <c r="AJ7" s="471"/>
      <c r="AK7" s="471"/>
      <c r="AL7" s="471"/>
      <c r="AM7" s="471"/>
      <c r="AN7" s="471"/>
      <c r="AO7" s="471"/>
      <c r="AP7" s="471"/>
      <c r="AQ7" s="471"/>
      <c r="AR7" s="471"/>
      <c r="AS7" s="471"/>
      <c r="AT7" s="471"/>
      <c r="AU7" s="471"/>
      <c r="AV7" s="471"/>
      <c r="AW7" s="471"/>
      <c r="AX7" s="471"/>
      <c r="AY7" s="471"/>
      <c r="AZ7" s="471"/>
      <c r="BA7" s="471"/>
      <c r="BB7" s="471"/>
      <c r="BC7" s="471"/>
      <c r="BD7" s="471"/>
      <c r="BE7" s="471"/>
      <c r="BF7" s="471"/>
      <c r="BG7" s="471"/>
      <c r="BH7" s="471"/>
      <c r="BI7" s="471"/>
      <c r="BJ7" s="471"/>
      <c r="BK7" s="471"/>
      <c r="BL7" s="471"/>
      <c r="BM7" s="471"/>
      <c r="BN7" s="471"/>
      <c r="BO7" s="471"/>
      <c r="BP7" s="471"/>
      <c r="BQ7" s="471"/>
      <c r="BR7" s="471"/>
      <c r="BS7" s="471"/>
      <c r="BT7" s="471"/>
      <c r="BU7" s="471"/>
      <c r="BV7" s="471"/>
      <c r="BW7" s="471"/>
      <c r="BX7" s="471"/>
      <c r="BY7" s="471"/>
      <c r="BZ7" s="471"/>
      <c r="CA7" s="471"/>
      <c r="CB7" s="471"/>
      <c r="CC7" s="471"/>
      <c r="CD7" s="471"/>
      <c r="CE7" s="471"/>
      <c r="CF7" s="471"/>
      <c r="CG7" s="471"/>
      <c r="CH7" s="471"/>
      <c r="CI7" s="471"/>
      <c r="CJ7" s="464"/>
      <c r="CK7" s="464"/>
      <c r="CL7" s="464"/>
      <c r="CM7" s="464"/>
      <c r="CN7" s="464"/>
      <c r="CO7" s="464"/>
      <c r="CP7" s="464"/>
      <c r="CQ7" s="464"/>
      <c r="CR7" s="464"/>
      <c r="CS7" s="464"/>
      <c r="CT7" s="464"/>
      <c r="CU7" s="464"/>
      <c r="CV7" s="464"/>
      <c r="CW7" s="464"/>
      <c r="CX7" s="464"/>
      <c r="CY7" s="464"/>
      <c r="CZ7" s="464"/>
      <c r="DA7" s="464"/>
      <c r="DB7" s="464"/>
      <c r="DC7" s="464"/>
      <c r="DD7" s="464"/>
      <c r="DE7" s="464"/>
      <c r="DF7" s="464"/>
      <c r="DG7" s="464"/>
      <c r="DH7" s="464"/>
      <c r="DI7" s="464"/>
      <c r="DJ7" s="8"/>
    </row>
    <row r="8" spans="1:403" ht="17.149999999999999" customHeight="1" x14ac:dyDescent="0.35">
      <c r="A8" s="324"/>
      <c r="B8" s="8"/>
      <c r="C8" s="8"/>
      <c r="D8" s="8"/>
      <c r="E8" s="8"/>
      <c r="F8" s="8"/>
      <c r="G8" s="326" t="s">
        <v>307</v>
      </c>
      <c r="H8" s="2">
        <v>1</v>
      </c>
      <c r="I8" s="2">
        <v>2</v>
      </c>
      <c r="J8" s="2">
        <v>3</v>
      </c>
      <c r="K8" s="2">
        <v>4</v>
      </c>
      <c r="L8" s="2">
        <v>5</v>
      </c>
      <c r="M8" s="2">
        <v>6</v>
      </c>
      <c r="N8" s="2">
        <v>7</v>
      </c>
      <c r="O8" s="2">
        <v>8</v>
      </c>
      <c r="P8" s="2">
        <v>9</v>
      </c>
      <c r="Q8" s="2">
        <v>10</v>
      </c>
      <c r="R8" s="2">
        <v>11</v>
      </c>
      <c r="S8" s="2">
        <v>12</v>
      </c>
      <c r="T8" s="2">
        <v>13</v>
      </c>
      <c r="U8" s="2">
        <v>14</v>
      </c>
      <c r="V8" s="2">
        <v>15</v>
      </c>
      <c r="W8" s="2">
        <v>16</v>
      </c>
      <c r="X8" s="2">
        <v>17</v>
      </c>
      <c r="Y8" s="2">
        <v>18</v>
      </c>
      <c r="Z8" s="2">
        <v>19</v>
      </c>
      <c r="AA8" s="2">
        <v>20</v>
      </c>
      <c r="AB8" s="2">
        <v>21</v>
      </c>
      <c r="AC8" s="2">
        <v>22</v>
      </c>
      <c r="AD8" s="2">
        <v>23</v>
      </c>
      <c r="AE8" s="2">
        <v>24</v>
      </c>
      <c r="AF8" s="2">
        <v>25</v>
      </c>
      <c r="AG8" s="2">
        <v>26</v>
      </c>
      <c r="AH8" s="2">
        <v>27</v>
      </c>
      <c r="AI8" s="2">
        <v>28</v>
      </c>
      <c r="AJ8" s="2">
        <v>29</v>
      </c>
      <c r="AK8" s="2">
        <v>30</v>
      </c>
      <c r="AL8" s="2">
        <v>31</v>
      </c>
      <c r="AM8" s="2">
        <v>32</v>
      </c>
      <c r="AN8" s="2">
        <v>33</v>
      </c>
      <c r="AO8" s="2">
        <v>34</v>
      </c>
      <c r="AP8" s="2">
        <v>35</v>
      </c>
      <c r="AQ8" s="2">
        <v>36</v>
      </c>
      <c r="AR8" s="2">
        <v>37</v>
      </c>
      <c r="AS8" s="2">
        <v>38</v>
      </c>
      <c r="AT8" s="2">
        <v>39</v>
      </c>
      <c r="AU8" s="2">
        <v>40</v>
      </c>
      <c r="AV8" s="2">
        <v>41</v>
      </c>
      <c r="AW8" s="2">
        <v>42</v>
      </c>
      <c r="AX8" s="2">
        <v>43</v>
      </c>
      <c r="AY8" s="2">
        <v>44</v>
      </c>
      <c r="AZ8" s="2">
        <v>45</v>
      </c>
      <c r="BA8" s="2">
        <v>46</v>
      </c>
      <c r="BB8" s="2">
        <v>47</v>
      </c>
      <c r="BC8" s="2">
        <v>48</v>
      </c>
      <c r="BD8" s="2">
        <v>49</v>
      </c>
      <c r="BE8" s="2">
        <v>50</v>
      </c>
      <c r="BF8" s="2">
        <v>51</v>
      </c>
      <c r="BG8" s="2">
        <v>52</v>
      </c>
      <c r="BH8" s="2">
        <v>53</v>
      </c>
      <c r="BI8" s="2">
        <f>H8</f>
        <v>1</v>
      </c>
      <c r="BJ8" s="2">
        <f t="shared" ref="BJ8:DA8" si="0">I8</f>
        <v>2</v>
      </c>
      <c r="BK8" s="2">
        <f t="shared" si="0"/>
        <v>3</v>
      </c>
      <c r="BL8" s="2">
        <f t="shared" si="0"/>
        <v>4</v>
      </c>
      <c r="BM8" s="2">
        <f t="shared" si="0"/>
        <v>5</v>
      </c>
      <c r="BN8" s="2">
        <f t="shared" si="0"/>
        <v>6</v>
      </c>
      <c r="BO8" s="2">
        <f t="shared" si="0"/>
        <v>7</v>
      </c>
      <c r="BP8" s="2">
        <f t="shared" si="0"/>
        <v>8</v>
      </c>
      <c r="BQ8" s="2">
        <f t="shared" si="0"/>
        <v>9</v>
      </c>
      <c r="BR8" s="2">
        <f t="shared" si="0"/>
        <v>10</v>
      </c>
      <c r="BS8" s="2">
        <f t="shared" si="0"/>
        <v>11</v>
      </c>
      <c r="BT8" s="2">
        <f t="shared" si="0"/>
        <v>12</v>
      </c>
      <c r="BU8" s="2">
        <f t="shared" si="0"/>
        <v>13</v>
      </c>
      <c r="BV8" s="2">
        <f t="shared" si="0"/>
        <v>14</v>
      </c>
      <c r="BW8" s="2">
        <f t="shared" si="0"/>
        <v>15</v>
      </c>
      <c r="BX8" s="2">
        <f t="shared" si="0"/>
        <v>16</v>
      </c>
      <c r="BY8" s="2">
        <f t="shared" si="0"/>
        <v>17</v>
      </c>
      <c r="BZ8" s="2">
        <f t="shared" si="0"/>
        <v>18</v>
      </c>
      <c r="CA8" s="2">
        <f t="shared" si="0"/>
        <v>19</v>
      </c>
      <c r="CB8" s="2">
        <f t="shared" si="0"/>
        <v>20</v>
      </c>
      <c r="CC8" s="2">
        <f t="shared" si="0"/>
        <v>21</v>
      </c>
      <c r="CD8" s="2">
        <f t="shared" si="0"/>
        <v>22</v>
      </c>
      <c r="CE8" s="2">
        <f t="shared" si="0"/>
        <v>23</v>
      </c>
      <c r="CF8" s="2">
        <f t="shared" si="0"/>
        <v>24</v>
      </c>
      <c r="CG8" s="2">
        <f t="shared" si="0"/>
        <v>25</v>
      </c>
      <c r="CH8" s="2">
        <f t="shared" si="0"/>
        <v>26</v>
      </c>
      <c r="CI8" s="2">
        <f t="shared" si="0"/>
        <v>27</v>
      </c>
      <c r="CJ8" s="2">
        <f t="shared" si="0"/>
        <v>28</v>
      </c>
      <c r="CK8" s="2">
        <f t="shared" si="0"/>
        <v>29</v>
      </c>
      <c r="CL8" s="2">
        <f t="shared" si="0"/>
        <v>30</v>
      </c>
      <c r="CM8" s="2">
        <f t="shared" si="0"/>
        <v>31</v>
      </c>
      <c r="CN8" s="2">
        <f t="shared" si="0"/>
        <v>32</v>
      </c>
      <c r="CO8" s="2">
        <f t="shared" si="0"/>
        <v>33</v>
      </c>
      <c r="CP8" s="2">
        <f t="shared" si="0"/>
        <v>34</v>
      </c>
      <c r="CQ8" s="2">
        <f t="shared" si="0"/>
        <v>35</v>
      </c>
      <c r="CR8" s="2">
        <f t="shared" si="0"/>
        <v>36</v>
      </c>
      <c r="CS8" s="2">
        <f t="shared" si="0"/>
        <v>37</v>
      </c>
      <c r="CT8" s="2">
        <f t="shared" si="0"/>
        <v>38</v>
      </c>
      <c r="CU8" s="2">
        <f t="shared" si="0"/>
        <v>39</v>
      </c>
      <c r="CV8" s="2">
        <f t="shared" si="0"/>
        <v>40</v>
      </c>
      <c r="CW8" s="2">
        <f t="shared" si="0"/>
        <v>41</v>
      </c>
      <c r="CX8" s="2">
        <f t="shared" si="0"/>
        <v>42</v>
      </c>
      <c r="CY8" s="2">
        <f t="shared" si="0"/>
        <v>43</v>
      </c>
      <c r="CZ8" s="2">
        <f t="shared" si="0"/>
        <v>44</v>
      </c>
      <c r="DA8" s="2">
        <f t="shared" si="0"/>
        <v>45</v>
      </c>
      <c r="DB8" s="2">
        <f t="shared" ref="DB8" si="1">BA8</f>
        <v>46</v>
      </c>
      <c r="DC8" s="2">
        <f t="shared" ref="DC8" si="2">BB8</f>
        <v>47</v>
      </c>
      <c r="DD8" s="2">
        <f t="shared" ref="DD8" si="3">BC8</f>
        <v>48</v>
      </c>
      <c r="DE8" s="2">
        <f t="shared" ref="DE8" si="4">BD8</f>
        <v>49</v>
      </c>
      <c r="DF8" s="327">
        <f t="shared" ref="DF8" si="5">BE8</f>
        <v>50</v>
      </c>
      <c r="DG8" s="327">
        <f t="shared" ref="DG8" si="6">BF8</f>
        <v>51</v>
      </c>
      <c r="DH8" s="327">
        <f t="shared" ref="DH8" si="7">BG8</f>
        <v>52</v>
      </c>
      <c r="DI8" s="328">
        <f t="shared" ref="DI8" si="8">BH8</f>
        <v>53</v>
      </c>
      <c r="DJ8" s="8"/>
      <c r="NI8" s="430"/>
      <c r="NJ8" s="7"/>
      <c r="NK8" s="7"/>
      <c r="NL8" s="7"/>
      <c r="NM8" s="7"/>
      <c r="NN8" s="7"/>
      <c r="NO8" s="7"/>
      <c r="NP8" s="7"/>
      <c r="NQ8" s="7"/>
      <c r="NR8" s="7"/>
      <c r="NS8" s="7"/>
      <c r="NT8" s="7"/>
      <c r="NU8" s="7"/>
      <c r="NV8" s="7"/>
      <c r="NW8" s="7"/>
    </row>
    <row r="9" spans="1:403" ht="12.75" customHeight="1" x14ac:dyDescent="0.35">
      <c r="A9" s="324"/>
      <c r="B9" s="8"/>
      <c r="C9" s="8"/>
      <c r="D9" s="8"/>
      <c r="E9" s="8"/>
      <c r="F9" s="8"/>
      <c r="G9" s="326" t="s">
        <v>297</v>
      </c>
      <c r="H9" s="470" t="s">
        <v>352</v>
      </c>
      <c r="I9" s="470"/>
      <c r="J9" s="470"/>
      <c r="K9" s="470"/>
      <c r="L9" s="470"/>
      <c r="M9" s="470"/>
      <c r="N9" s="470"/>
      <c r="O9" s="470"/>
      <c r="P9" s="470"/>
      <c r="Q9" s="470"/>
      <c r="R9" s="470"/>
      <c r="S9" s="470"/>
      <c r="T9" s="470"/>
      <c r="U9" s="470"/>
      <c r="V9" s="470"/>
      <c r="W9" s="470"/>
      <c r="X9" s="470"/>
      <c r="Y9" s="470"/>
      <c r="Z9" s="470"/>
      <c r="AA9" s="470"/>
      <c r="AB9" s="470"/>
      <c r="AC9" s="470"/>
      <c r="AD9" s="470"/>
      <c r="AE9" s="470"/>
      <c r="AF9" s="470"/>
      <c r="AG9" s="470"/>
      <c r="AH9" s="470"/>
      <c r="AI9" s="470"/>
      <c r="AJ9" s="470"/>
      <c r="AK9" s="470"/>
      <c r="AL9" s="470"/>
      <c r="AM9" s="468" t="s">
        <v>353</v>
      </c>
      <c r="AN9" s="468"/>
      <c r="AO9" s="468"/>
      <c r="AP9" s="468"/>
      <c r="AQ9" s="468"/>
      <c r="AR9" s="468"/>
      <c r="AS9" s="468"/>
      <c r="AT9" s="468"/>
      <c r="AU9" s="468"/>
      <c r="AV9" s="468"/>
      <c r="AW9" s="468"/>
      <c r="AX9" s="468"/>
      <c r="AY9" s="468"/>
      <c r="AZ9" s="468"/>
      <c r="BA9" s="468"/>
      <c r="BB9" s="468"/>
      <c r="BC9" s="468"/>
      <c r="BD9" s="468"/>
      <c r="BE9" s="468"/>
      <c r="BF9" s="468"/>
      <c r="BG9" s="468"/>
      <c r="BH9" s="468"/>
      <c r="BI9" s="468"/>
      <c r="BJ9" s="468"/>
      <c r="BK9" s="468"/>
      <c r="BL9" s="468"/>
      <c r="BM9" s="468"/>
      <c r="BN9" s="468"/>
      <c r="BO9" s="469" t="s">
        <v>354</v>
      </c>
      <c r="BP9" s="469"/>
      <c r="BQ9" s="469"/>
      <c r="BR9" s="469"/>
      <c r="BS9" s="469"/>
      <c r="BT9" s="469"/>
      <c r="BU9" s="469"/>
      <c r="BV9" s="469"/>
      <c r="BW9" s="469"/>
      <c r="BX9" s="469"/>
      <c r="BY9" s="469"/>
      <c r="BZ9" s="469"/>
      <c r="CA9" s="469"/>
      <c r="CB9" s="469"/>
      <c r="CC9" s="469"/>
      <c r="CD9" s="469"/>
      <c r="CE9" s="469"/>
      <c r="CF9" s="469"/>
      <c r="CG9" s="469"/>
      <c r="CH9" s="469"/>
      <c r="CI9" s="469"/>
      <c r="CJ9" s="469"/>
      <c r="CK9" s="469"/>
      <c r="CL9" s="469"/>
      <c r="CM9" s="469"/>
      <c r="CN9" s="469"/>
      <c r="CO9" s="469"/>
      <c r="CP9" s="469"/>
      <c r="CQ9" s="469"/>
      <c r="CR9" s="469"/>
      <c r="CS9" s="469"/>
      <c r="CT9" s="468" t="s">
        <v>355</v>
      </c>
      <c r="CU9" s="468"/>
      <c r="CV9" s="468"/>
      <c r="CW9" s="468"/>
      <c r="CX9" s="468"/>
      <c r="CY9" s="468"/>
      <c r="CZ9" s="468"/>
      <c r="DA9" s="468"/>
      <c r="DB9" s="468"/>
      <c r="DC9" s="468"/>
      <c r="DD9" s="468"/>
      <c r="DE9" s="468"/>
      <c r="DF9" s="468"/>
      <c r="DG9" s="468"/>
      <c r="DH9" s="468"/>
      <c r="DI9" s="468"/>
      <c r="DJ9" s="468"/>
      <c r="DK9" s="468"/>
      <c r="DL9" s="468"/>
      <c r="DM9" s="468"/>
      <c r="DN9" s="468"/>
      <c r="DO9" s="468"/>
      <c r="DP9" s="468"/>
      <c r="DQ9" s="468"/>
      <c r="DR9" s="468"/>
      <c r="DS9" s="468"/>
      <c r="DT9" s="468"/>
      <c r="DU9" s="468"/>
      <c r="DV9" s="468"/>
      <c r="DW9" s="468"/>
      <c r="DX9" s="461" t="s">
        <v>356</v>
      </c>
      <c r="DY9" s="461"/>
      <c r="DZ9" s="461"/>
      <c r="EA9" s="461"/>
      <c r="EB9" s="461"/>
      <c r="EC9" s="461"/>
      <c r="ED9" s="461"/>
      <c r="EE9" s="461"/>
      <c r="EF9" s="461"/>
      <c r="EG9" s="461"/>
      <c r="EH9" s="461"/>
      <c r="EI9" s="461"/>
      <c r="EJ9" s="461"/>
      <c r="EK9" s="461"/>
      <c r="EL9" s="461"/>
      <c r="EM9" s="461"/>
      <c r="EN9" s="461"/>
      <c r="EO9" s="461"/>
      <c r="EP9" s="461"/>
      <c r="EQ9" s="461"/>
      <c r="ER9" s="461"/>
      <c r="ES9" s="461"/>
      <c r="ET9" s="461"/>
      <c r="EU9" s="461"/>
      <c r="EV9" s="461"/>
      <c r="EW9" s="461"/>
      <c r="EX9" s="461"/>
      <c r="EY9" s="461"/>
      <c r="EZ9" s="461"/>
      <c r="FA9" s="461"/>
      <c r="FB9" s="461"/>
      <c r="FC9" s="462" t="s">
        <v>357</v>
      </c>
      <c r="FD9" s="462"/>
      <c r="FE9" s="462"/>
      <c r="FF9" s="462"/>
      <c r="FG9" s="462"/>
      <c r="FH9" s="462"/>
      <c r="FI9" s="462"/>
      <c r="FJ9" s="462"/>
      <c r="FK9" s="462"/>
      <c r="FL9" s="462"/>
      <c r="FM9" s="462"/>
      <c r="FN9" s="462"/>
      <c r="FO9" s="462"/>
      <c r="FP9" s="462"/>
      <c r="FQ9" s="462"/>
      <c r="FR9" s="462"/>
      <c r="FS9" s="462"/>
      <c r="FT9" s="462"/>
      <c r="FU9" s="462"/>
      <c r="FV9" s="462"/>
      <c r="FW9" s="462"/>
      <c r="FX9" s="462"/>
      <c r="FY9" s="462"/>
      <c r="FZ9" s="462"/>
      <c r="GA9" s="462"/>
      <c r="GB9" s="462"/>
      <c r="GC9" s="462"/>
      <c r="GD9" s="462"/>
      <c r="GE9" s="462"/>
      <c r="GF9" s="462"/>
      <c r="GG9" s="461" t="s">
        <v>358</v>
      </c>
      <c r="GH9" s="461"/>
      <c r="GI9" s="461"/>
      <c r="GJ9" s="461"/>
      <c r="GK9" s="461"/>
      <c r="GL9" s="461"/>
      <c r="GM9" s="461"/>
      <c r="GN9" s="461"/>
      <c r="GO9" s="461"/>
      <c r="GP9" s="461"/>
      <c r="GQ9" s="461"/>
      <c r="GR9" s="461"/>
      <c r="GS9" s="461"/>
      <c r="GT9" s="461"/>
      <c r="GU9" s="461"/>
      <c r="GV9" s="461"/>
      <c r="GW9" s="461"/>
      <c r="GX9" s="461"/>
      <c r="GY9" s="461"/>
      <c r="GZ9" s="461"/>
      <c r="HA9" s="461"/>
      <c r="HB9" s="461"/>
      <c r="HC9" s="461"/>
      <c r="HD9" s="461"/>
      <c r="HE9" s="461"/>
      <c r="HF9" s="461"/>
      <c r="HG9" s="461"/>
      <c r="HH9" s="461"/>
      <c r="HI9" s="461"/>
      <c r="HJ9" s="461"/>
      <c r="HK9" s="461"/>
      <c r="HL9" s="462" t="s">
        <v>359</v>
      </c>
      <c r="HM9" s="462"/>
      <c r="HN9" s="462"/>
      <c r="HO9" s="462"/>
      <c r="HP9" s="462"/>
      <c r="HQ9" s="462"/>
      <c r="HR9" s="462"/>
      <c r="HS9" s="462"/>
      <c r="HT9" s="462"/>
      <c r="HU9" s="462"/>
      <c r="HV9" s="462"/>
      <c r="HW9" s="462"/>
      <c r="HX9" s="462"/>
      <c r="HY9" s="462"/>
      <c r="HZ9" s="462"/>
      <c r="IA9" s="462"/>
      <c r="IB9" s="462"/>
      <c r="IC9" s="462"/>
      <c r="ID9" s="462"/>
      <c r="IE9" s="462"/>
      <c r="IF9" s="462"/>
      <c r="IG9" s="462"/>
      <c r="IH9" s="462"/>
      <c r="II9" s="462"/>
      <c r="IJ9" s="462"/>
      <c r="IK9" s="462"/>
      <c r="IL9" s="462"/>
      <c r="IM9" s="462"/>
      <c r="IN9" s="462"/>
      <c r="IO9" s="462"/>
      <c r="IP9" s="462"/>
      <c r="IQ9" s="461" t="s">
        <v>360</v>
      </c>
      <c r="IR9" s="461"/>
      <c r="IS9" s="461"/>
      <c r="IT9" s="461"/>
      <c r="IU9" s="461"/>
      <c r="IV9" s="461"/>
      <c r="IW9" s="461"/>
      <c r="IX9" s="461"/>
      <c r="IY9" s="461"/>
      <c r="IZ9" s="461"/>
      <c r="JA9" s="461"/>
      <c r="JB9" s="461"/>
      <c r="JC9" s="461"/>
      <c r="JD9" s="461"/>
      <c r="JE9" s="461"/>
      <c r="JF9" s="461"/>
      <c r="JG9" s="461"/>
      <c r="JH9" s="461"/>
      <c r="JI9" s="461"/>
      <c r="JJ9" s="461"/>
      <c r="JK9" s="461"/>
      <c r="JL9" s="461"/>
      <c r="JM9" s="461"/>
      <c r="JN9" s="461"/>
      <c r="JO9" s="461"/>
      <c r="JP9" s="461"/>
      <c r="JQ9" s="461"/>
      <c r="JR9" s="461"/>
      <c r="JS9" s="461"/>
      <c r="JT9" s="461"/>
      <c r="JU9" s="463" t="s">
        <v>361</v>
      </c>
      <c r="JV9" s="463"/>
      <c r="JW9" s="463"/>
      <c r="JX9" s="463"/>
      <c r="JY9" s="463"/>
      <c r="JZ9" s="463"/>
      <c r="KA9" s="463"/>
      <c r="KB9" s="463"/>
      <c r="KC9" s="463"/>
      <c r="KD9" s="463"/>
      <c r="KE9" s="463"/>
      <c r="KF9" s="463"/>
      <c r="KG9" s="463"/>
      <c r="KH9" s="463"/>
      <c r="KI9" s="463"/>
      <c r="KJ9" s="463"/>
      <c r="KK9" s="463"/>
      <c r="KL9" s="463"/>
      <c r="KM9" s="463"/>
      <c r="KN9" s="463"/>
      <c r="KO9" s="463"/>
      <c r="KP9" s="463"/>
      <c r="KQ9" s="463"/>
      <c r="KR9" s="463"/>
      <c r="KS9" s="463"/>
      <c r="KT9" s="463"/>
      <c r="KU9" s="463"/>
      <c r="KV9" s="463"/>
      <c r="KW9" s="463"/>
      <c r="KX9" s="463"/>
      <c r="KY9" s="463"/>
      <c r="KZ9" s="461" t="s">
        <v>362</v>
      </c>
      <c r="LA9" s="461"/>
      <c r="LB9" s="461"/>
      <c r="LC9" s="461"/>
      <c r="LD9" s="461"/>
      <c r="LE9" s="461"/>
      <c r="LF9" s="461"/>
      <c r="LG9" s="461"/>
      <c r="LH9" s="461"/>
      <c r="LI9" s="461"/>
      <c r="LJ9" s="461"/>
      <c r="LK9" s="461"/>
      <c r="LL9" s="461"/>
      <c r="LM9" s="461"/>
      <c r="LN9" s="461"/>
      <c r="LO9" s="461"/>
      <c r="LP9" s="461"/>
      <c r="LQ9" s="461"/>
      <c r="LR9" s="461"/>
      <c r="LS9" s="461"/>
      <c r="LT9" s="461"/>
      <c r="LU9" s="461"/>
      <c r="LV9" s="461"/>
      <c r="LW9" s="461"/>
      <c r="LX9" s="461"/>
      <c r="LY9" s="461"/>
      <c r="LZ9" s="461"/>
      <c r="MA9" s="461"/>
      <c r="MB9" s="461"/>
      <c r="MC9" s="461"/>
      <c r="MD9" s="462" t="s">
        <v>363</v>
      </c>
      <c r="ME9" s="462"/>
      <c r="MF9" s="462"/>
      <c r="MG9" s="462"/>
      <c r="MH9" s="462"/>
      <c r="MI9" s="462"/>
      <c r="MJ9" s="462"/>
      <c r="MK9" s="462"/>
      <c r="ML9" s="462"/>
      <c r="MM9" s="462"/>
      <c r="MN9" s="462"/>
      <c r="MO9" s="462"/>
      <c r="MP9" s="462"/>
      <c r="MQ9" s="462"/>
      <c r="MR9" s="462"/>
      <c r="MS9" s="462"/>
      <c r="MT9" s="462"/>
      <c r="MU9" s="462"/>
      <c r="MV9" s="462"/>
      <c r="MW9" s="462"/>
      <c r="MX9" s="462"/>
      <c r="MY9" s="462"/>
      <c r="MZ9" s="462"/>
      <c r="NA9" s="462"/>
      <c r="NB9" s="462"/>
      <c r="NC9" s="462"/>
      <c r="ND9" s="462"/>
      <c r="NE9" s="462"/>
      <c r="NF9" s="462"/>
      <c r="NG9" s="462"/>
      <c r="NH9" s="462"/>
      <c r="NI9" s="431"/>
      <c r="NJ9" s="432"/>
      <c r="NK9" s="432"/>
      <c r="NL9" s="432"/>
      <c r="NM9" s="432"/>
      <c r="NN9" s="432"/>
      <c r="NO9" s="432"/>
      <c r="NP9" s="432"/>
      <c r="NQ9" s="432"/>
      <c r="NR9" s="432"/>
      <c r="NS9" s="432"/>
      <c r="NT9" s="432"/>
      <c r="NU9" s="432"/>
      <c r="NV9" s="432"/>
      <c r="NW9" s="432"/>
      <c r="NX9" s="429"/>
      <c r="NY9" s="429"/>
      <c r="NZ9" s="429"/>
      <c r="OA9" s="429"/>
      <c r="OB9" s="429"/>
      <c r="OC9" s="429"/>
      <c r="OD9" s="429"/>
      <c r="OE9" s="429"/>
      <c r="OF9" s="429"/>
      <c r="OG9" s="429"/>
      <c r="OH9" s="429"/>
      <c r="OI9" s="429"/>
      <c r="OJ9" s="429"/>
      <c r="OK9" s="429"/>
      <c r="OL9" s="429"/>
      <c r="OM9" s="429"/>
    </row>
    <row r="10" spans="1:403" s="1" customFormat="1" ht="42" customHeight="1" x14ac:dyDescent="0.3">
      <c r="A10" s="325"/>
      <c r="B10" s="12"/>
      <c r="C10" s="12"/>
      <c r="D10" s="12"/>
      <c r="E10" s="12"/>
      <c r="F10" s="12"/>
      <c r="G10" s="329" t="s">
        <v>301</v>
      </c>
      <c r="H10" s="323">
        <v>45658</v>
      </c>
      <c r="I10" s="323">
        <v>45659</v>
      </c>
      <c r="J10" s="323">
        <v>45660</v>
      </c>
      <c r="K10" s="323">
        <v>45661</v>
      </c>
      <c r="L10" s="323">
        <v>45662</v>
      </c>
      <c r="M10" s="323">
        <v>45663</v>
      </c>
      <c r="N10" s="323">
        <v>45664</v>
      </c>
      <c r="O10" s="323">
        <v>45665</v>
      </c>
      <c r="P10" s="323">
        <v>45666</v>
      </c>
      <c r="Q10" s="323">
        <v>45667</v>
      </c>
      <c r="R10" s="323">
        <v>45668</v>
      </c>
      <c r="S10" s="323">
        <v>45669</v>
      </c>
      <c r="T10" s="323">
        <v>45670</v>
      </c>
      <c r="U10" s="323">
        <v>45671</v>
      </c>
      <c r="V10" s="323">
        <v>45672</v>
      </c>
      <c r="W10" s="323">
        <v>45673</v>
      </c>
      <c r="X10" s="323">
        <v>45674</v>
      </c>
      <c r="Y10" s="323">
        <v>45675</v>
      </c>
      <c r="Z10" s="323">
        <v>45676</v>
      </c>
      <c r="AA10" s="323">
        <v>45677</v>
      </c>
      <c r="AB10" s="323">
        <v>45678</v>
      </c>
      <c r="AC10" s="323">
        <v>45679</v>
      </c>
      <c r="AD10" s="323">
        <v>45680</v>
      </c>
      <c r="AE10" s="323">
        <v>45681</v>
      </c>
      <c r="AF10" s="323">
        <v>45682</v>
      </c>
      <c r="AG10" s="323">
        <v>45683</v>
      </c>
      <c r="AH10" s="323">
        <v>45684</v>
      </c>
      <c r="AI10" s="323">
        <v>45685</v>
      </c>
      <c r="AJ10" s="323">
        <v>45686</v>
      </c>
      <c r="AK10" s="323">
        <v>45687</v>
      </c>
      <c r="AL10" s="323">
        <v>45688</v>
      </c>
      <c r="AM10" s="323">
        <v>45689</v>
      </c>
      <c r="AN10" s="323">
        <v>45690</v>
      </c>
      <c r="AO10" s="323">
        <v>45691</v>
      </c>
      <c r="AP10" s="323">
        <v>45692</v>
      </c>
      <c r="AQ10" s="323">
        <v>45693</v>
      </c>
      <c r="AR10" s="323">
        <v>45694</v>
      </c>
      <c r="AS10" s="323">
        <v>45695</v>
      </c>
      <c r="AT10" s="323">
        <v>45696</v>
      </c>
      <c r="AU10" s="323">
        <v>45697</v>
      </c>
      <c r="AV10" s="323">
        <v>45698</v>
      </c>
      <c r="AW10" s="323">
        <v>45699</v>
      </c>
      <c r="AX10" s="323">
        <v>45700</v>
      </c>
      <c r="AY10" s="323">
        <v>45701</v>
      </c>
      <c r="AZ10" s="323">
        <v>45702</v>
      </c>
      <c r="BA10" s="323">
        <v>45703</v>
      </c>
      <c r="BB10" s="323">
        <v>45704</v>
      </c>
      <c r="BC10" s="323">
        <v>45705</v>
      </c>
      <c r="BD10" s="323">
        <v>45706</v>
      </c>
      <c r="BE10" s="323">
        <v>45707</v>
      </c>
      <c r="BF10" s="323">
        <v>45708</v>
      </c>
      <c r="BG10" s="323">
        <v>45709</v>
      </c>
      <c r="BH10" s="323">
        <v>45710</v>
      </c>
      <c r="BI10" s="323">
        <v>45711</v>
      </c>
      <c r="BJ10" s="323">
        <v>45712</v>
      </c>
      <c r="BK10" s="323">
        <v>45713</v>
      </c>
      <c r="BL10" s="323">
        <v>45714</v>
      </c>
      <c r="BM10" s="323">
        <v>45715</v>
      </c>
      <c r="BN10" s="323">
        <v>45716</v>
      </c>
      <c r="BO10" s="323">
        <v>45717</v>
      </c>
      <c r="BP10" s="323">
        <v>45718</v>
      </c>
      <c r="BQ10" s="323">
        <v>45719</v>
      </c>
      <c r="BR10" s="323">
        <v>45720</v>
      </c>
      <c r="BS10" s="323">
        <v>45721</v>
      </c>
      <c r="BT10" s="323">
        <v>45722</v>
      </c>
      <c r="BU10" s="323">
        <v>45723</v>
      </c>
      <c r="BV10" s="323">
        <v>45724</v>
      </c>
      <c r="BW10" s="323">
        <v>45725</v>
      </c>
      <c r="BX10" s="323">
        <v>45726</v>
      </c>
      <c r="BY10" s="323">
        <v>45727</v>
      </c>
      <c r="BZ10" s="323">
        <v>45728</v>
      </c>
      <c r="CA10" s="323">
        <v>45729</v>
      </c>
      <c r="CB10" s="323">
        <v>45730</v>
      </c>
      <c r="CC10" s="323">
        <v>45731</v>
      </c>
      <c r="CD10" s="323">
        <v>45732</v>
      </c>
      <c r="CE10" s="323">
        <v>45733</v>
      </c>
      <c r="CF10" s="323">
        <v>45734</v>
      </c>
      <c r="CG10" s="323">
        <v>45735</v>
      </c>
      <c r="CH10" s="323">
        <v>45736</v>
      </c>
      <c r="CI10" s="323">
        <v>45737</v>
      </c>
      <c r="CJ10" s="323">
        <v>45738</v>
      </c>
      <c r="CK10" s="323">
        <v>45739</v>
      </c>
      <c r="CL10" s="323">
        <v>45740</v>
      </c>
      <c r="CM10" s="323">
        <v>45741</v>
      </c>
      <c r="CN10" s="323">
        <v>45742</v>
      </c>
      <c r="CO10" s="323">
        <v>45743</v>
      </c>
      <c r="CP10" s="323">
        <v>45744</v>
      </c>
      <c r="CQ10" s="323">
        <v>45745</v>
      </c>
      <c r="CR10" s="323">
        <v>45746</v>
      </c>
      <c r="CS10" s="323">
        <v>45747</v>
      </c>
      <c r="CT10" s="323">
        <v>45748</v>
      </c>
      <c r="CU10" s="323">
        <v>45749</v>
      </c>
      <c r="CV10" s="323">
        <v>45750</v>
      </c>
      <c r="CW10" s="323">
        <v>45751</v>
      </c>
      <c r="CX10" s="323">
        <v>45752</v>
      </c>
      <c r="CY10" s="323">
        <v>45753</v>
      </c>
      <c r="CZ10" s="323">
        <v>45754</v>
      </c>
      <c r="DA10" s="323">
        <v>45755</v>
      </c>
      <c r="DB10" s="323">
        <v>45756</v>
      </c>
      <c r="DC10" s="323">
        <v>45757</v>
      </c>
      <c r="DD10" s="323">
        <v>45758</v>
      </c>
      <c r="DE10" s="323">
        <v>45759</v>
      </c>
      <c r="DF10" s="323">
        <v>45760</v>
      </c>
      <c r="DG10" s="323">
        <v>45761</v>
      </c>
      <c r="DH10" s="323">
        <v>45762</v>
      </c>
      <c r="DI10" s="323">
        <v>45763</v>
      </c>
      <c r="DJ10" s="323">
        <v>45764</v>
      </c>
      <c r="DK10" s="323">
        <v>45765</v>
      </c>
      <c r="DL10" s="323">
        <v>45766</v>
      </c>
      <c r="DM10" s="323">
        <v>45767</v>
      </c>
      <c r="DN10" s="323">
        <v>45768</v>
      </c>
      <c r="DO10" s="323">
        <v>45769</v>
      </c>
      <c r="DP10" s="323">
        <v>45770</v>
      </c>
      <c r="DQ10" s="323">
        <v>45771</v>
      </c>
      <c r="DR10" s="323">
        <v>45772</v>
      </c>
      <c r="DS10" s="323">
        <v>45773</v>
      </c>
      <c r="DT10" s="323">
        <v>45774</v>
      </c>
      <c r="DU10" s="323">
        <v>45775</v>
      </c>
      <c r="DV10" s="323">
        <v>45776</v>
      </c>
      <c r="DW10" s="323">
        <v>45777</v>
      </c>
      <c r="DX10" s="323">
        <v>45778</v>
      </c>
      <c r="DY10" s="323">
        <v>45779</v>
      </c>
      <c r="DZ10" s="323">
        <v>45780</v>
      </c>
      <c r="EA10" s="323">
        <v>45781</v>
      </c>
      <c r="EB10" s="323">
        <v>45782</v>
      </c>
      <c r="EC10" s="323">
        <v>45783</v>
      </c>
      <c r="ED10" s="323">
        <v>45784</v>
      </c>
      <c r="EE10" s="323">
        <v>45785</v>
      </c>
      <c r="EF10" s="323">
        <v>45786</v>
      </c>
      <c r="EG10" s="323">
        <v>45787</v>
      </c>
      <c r="EH10" s="323">
        <v>45788</v>
      </c>
      <c r="EI10" s="323">
        <v>45789</v>
      </c>
      <c r="EJ10" s="323">
        <v>45790</v>
      </c>
      <c r="EK10" s="323">
        <v>45791</v>
      </c>
      <c r="EL10" s="323">
        <v>45792</v>
      </c>
      <c r="EM10" s="323">
        <v>45793</v>
      </c>
      <c r="EN10" s="323">
        <v>45794</v>
      </c>
      <c r="EO10" s="323">
        <v>45795</v>
      </c>
      <c r="EP10" s="323">
        <v>45796</v>
      </c>
      <c r="EQ10" s="323">
        <v>45797</v>
      </c>
      <c r="ER10" s="323">
        <v>45798</v>
      </c>
      <c r="ES10" s="323">
        <v>45799</v>
      </c>
      <c r="ET10" s="323">
        <v>45800</v>
      </c>
      <c r="EU10" s="323">
        <v>45801</v>
      </c>
      <c r="EV10" s="323">
        <v>45802</v>
      </c>
      <c r="EW10" s="323">
        <v>45803</v>
      </c>
      <c r="EX10" s="323">
        <v>45804</v>
      </c>
      <c r="EY10" s="323">
        <v>45805</v>
      </c>
      <c r="EZ10" s="323">
        <v>45806</v>
      </c>
      <c r="FA10" s="323">
        <v>45807</v>
      </c>
      <c r="FB10" s="323">
        <v>45808</v>
      </c>
      <c r="FC10" s="323">
        <v>45809</v>
      </c>
      <c r="FD10" s="323">
        <v>45810</v>
      </c>
      <c r="FE10" s="323">
        <v>45811</v>
      </c>
      <c r="FF10" s="323">
        <v>45812</v>
      </c>
      <c r="FG10" s="323">
        <v>45813</v>
      </c>
      <c r="FH10" s="323">
        <v>45814</v>
      </c>
      <c r="FI10" s="323">
        <v>45815</v>
      </c>
      <c r="FJ10" s="323">
        <v>45816</v>
      </c>
      <c r="FK10" s="323">
        <v>45817</v>
      </c>
      <c r="FL10" s="323">
        <v>45818</v>
      </c>
      <c r="FM10" s="323">
        <v>45819</v>
      </c>
      <c r="FN10" s="323">
        <v>45820</v>
      </c>
      <c r="FO10" s="323">
        <v>45821</v>
      </c>
      <c r="FP10" s="323">
        <v>45822</v>
      </c>
      <c r="FQ10" s="323">
        <v>45823</v>
      </c>
      <c r="FR10" s="323">
        <v>45824</v>
      </c>
      <c r="FS10" s="323">
        <v>45825</v>
      </c>
      <c r="FT10" s="323">
        <v>45826</v>
      </c>
      <c r="FU10" s="323">
        <v>45827</v>
      </c>
      <c r="FV10" s="323">
        <v>45828</v>
      </c>
      <c r="FW10" s="323">
        <v>45829</v>
      </c>
      <c r="FX10" s="323">
        <v>45830</v>
      </c>
      <c r="FY10" s="323">
        <v>45831</v>
      </c>
      <c r="FZ10" s="323">
        <v>45832</v>
      </c>
      <c r="GA10" s="323">
        <v>45833</v>
      </c>
      <c r="GB10" s="323">
        <v>45834</v>
      </c>
      <c r="GC10" s="323">
        <v>45835</v>
      </c>
      <c r="GD10" s="323">
        <v>45836</v>
      </c>
      <c r="GE10" s="323">
        <v>45837</v>
      </c>
      <c r="GF10" s="323">
        <v>45838</v>
      </c>
      <c r="GG10" s="323">
        <v>45839</v>
      </c>
      <c r="GH10" s="323">
        <v>45840</v>
      </c>
      <c r="GI10" s="323">
        <v>45841</v>
      </c>
      <c r="GJ10" s="323">
        <v>45842</v>
      </c>
      <c r="GK10" s="323">
        <v>45843</v>
      </c>
      <c r="GL10" s="323">
        <v>45844</v>
      </c>
      <c r="GM10" s="323">
        <v>45845</v>
      </c>
      <c r="GN10" s="323">
        <v>45846</v>
      </c>
      <c r="GO10" s="323">
        <v>45847</v>
      </c>
      <c r="GP10" s="323">
        <v>45848</v>
      </c>
      <c r="GQ10" s="323">
        <v>45849</v>
      </c>
      <c r="GR10" s="323">
        <v>45850</v>
      </c>
      <c r="GS10" s="323">
        <v>45851</v>
      </c>
      <c r="GT10" s="323">
        <v>45852</v>
      </c>
      <c r="GU10" s="323">
        <v>45853</v>
      </c>
      <c r="GV10" s="323">
        <v>45854</v>
      </c>
      <c r="GW10" s="323">
        <v>45855</v>
      </c>
      <c r="GX10" s="323">
        <v>45856</v>
      </c>
      <c r="GY10" s="323">
        <v>45857</v>
      </c>
      <c r="GZ10" s="323">
        <v>45858</v>
      </c>
      <c r="HA10" s="323">
        <v>45859</v>
      </c>
      <c r="HB10" s="323">
        <v>45860</v>
      </c>
      <c r="HC10" s="323">
        <v>45861</v>
      </c>
      <c r="HD10" s="323">
        <v>45862</v>
      </c>
      <c r="HE10" s="323">
        <v>45863</v>
      </c>
      <c r="HF10" s="323">
        <v>45864</v>
      </c>
      <c r="HG10" s="323">
        <v>45865</v>
      </c>
      <c r="HH10" s="323">
        <v>45866</v>
      </c>
      <c r="HI10" s="323">
        <v>45867</v>
      </c>
      <c r="HJ10" s="323">
        <v>45868</v>
      </c>
      <c r="HK10" s="323">
        <v>45869</v>
      </c>
      <c r="HL10" s="323">
        <v>45870</v>
      </c>
      <c r="HM10" s="323">
        <v>45871</v>
      </c>
      <c r="HN10" s="323">
        <v>45872</v>
      </c>
      <c r="HO10" s="323">
        <v>45873</v>
      </c>
      <c r="HP10" s="323">
        <v>45874</v>
      </c>
      <c r="HQ10" s="323">
        <v>45875</v>
      </c>
      <c r="HR10" s="323">
        <v>45876</v>
      </c>
      <c r="HS10" s="323">
        <v>45877</v>
      </c>
      <c r="HT10" s="323">
        <v>45878</v>
      </c>
      <c r="HU10" s="323">
        <v>45879</v>
      </c>
      <c r="HV10" s="323">
        <v>45880</v>
      </c>
      <c r="HW10" s="323">
        <v>45881</v>
      </c>
      <c r="HX10" s="323">
        <v>45882</v>
      </c>
      <c r="HY10" s="323">
        <v>45883</v>
      </c>
      <c r="HZ10" s="323">
        <v>45884</v>
      </c>
      <c r="IA10" s="323">
        <v>45885</v>
      </c>
      <c r="IB10" s="323">
        <v>45886</v>
      </c>
      <c r="IC10" s="323">
        <v>45887</v>
      </c>
      <c r="ID10" s="323">
        <v>45888</v>
      </c>
      <c r="IE10" s="323">
        <v>45889</v>
      </c>
      <c r="IF10" s="323">
        <v>45890</v>
      </c>
      <c r="IG10" s="323">
        <v>45891</v>
      </c>
      <c r="IH10" s="323">
        <v>45892</v>
      </c>
      <c r="II10" s="323">
        <v>45893</v>
      </c>
      <c r="IJ10" s="323">
        <v>45894</v>
      </c>
      <c r="IK10" s="323">
        <v>45895</v>
      </c>
      <c r="IL10" s="323">
        <v>45896</v>
      </c>
      <c r="IM10" s="323">
        <v>45897</v>
      </c>
      <c r="IN10" s="323">
        <v>45898</v>
      </c>
      <c r="IO10" s="323">
        <v>45899</v>
      </c>
      <c r="IP10" s="323">
        <v>45900</v>
      </c>
      <c r="IQ10" s="323">
        <v>45901</v>
      </c>
      <c r="IR10" s="323">
        <v>45902</v>
      </c>
      <c r="IS10" s="323">
        <v>45903</v>
      </c>
      <c r="IT10" s="323">
        <v>45904</v>
      </c>
      <c r="IU10" s="323">
        <v>45905</v>
      </c>
      <c r="IV10" s="323">
        <v>45906</v>
      </c>
      <c r="IW10" s="323">
        <v>45907</v>
      </c>
      <c r="IX10" s="323">
        <v>45908</v>
      </c>
      <c r="IY10" s="323">
        <v>45909</v>
      </c>
      <c r="IZ10" s="323">
        <v>45910</v>
      </c>
      <c r="JA10" s="323">
        <v>45911</v>
      </c>
      <c r="JB10" s="323">
        <v>45912</v>
      </c>
      <c r="JC10" s="323">
        <v>45913</v>
      </c>
      <c r="JD10" s="323">
        <v>45914</v>
      </c>
      <c r="JE10" s="323">
        <v>45915</v>
      </c>
      <c r="JF10" s="323">
        <v>45916</v>
      </c>
      <c r="JG10" s="323">
        <v>45917</v>
      </c>
      <c r="JH10" s="323">
        <v>45918</v>
      </c>
      <c r="JI10" s="323">
        <v>45919</v>
      </c>
      <c r="JJ10" s="323">
        <v>45920</v>
      </c>
      <c r="JK10" s="323">
        <v>45921</v>
      </c>
      <c r="JL10" s="323">
        <v>45922</v>
      </c>
      <c r="JM10" s="323">
        <v>45923</v>
      </c>
      <c r="JN10" s="323">
        <v>45924</v>
      </c>
      <c r="JO10" s="323">
        <v>45925</v>
      </c>
      <c r="JP10" s="323">
        <v>45926</v>
      </c>
      <c r="JQ10" s="323">
        <v>45927</v>
      </c>
      <c r="JR10" s="323">
        <v>45928</v>
      </c>
      <c r="JS10" s="323">
        <v>45929</v>
      </c>
      <c r="JT10" s="323">
        <v>45930</v>
      </c>
      <c r="JU10" s="323">
        <v>45931</v>
      </c>
      <c r="JV10" s="323">
        <v>45932</v>
      </c>
      <c r="JW10" s="323">
        <v>45933</v>
      </c>
      <c r="JX10" s="323">
        <v>45934</v>
      </c>
      <c r="JY10" s="323">
        <v>45935</v>
      </c>
      <c r="JZ10" s="323">
        <v>45936</v>
      </c>
      <c r="KA10" s="323">
        <v>45937</v>
      </c>
      <c r="KB10" s="323">
        <v>45938</v>
      </c>
      <c r="KC10" s="323">
        <v>45939</v>
      </c>
      <c r="KD10" s="323">
        <v>45940</v>
      </c>
      <c r="KE10" s="323">
        <v>45941</v>
      </c>
      <c r="KF10" s="323">
        <v>45942</v>
      </c>
      <c r="KG10" s="323">
        <v>45943</v>
      </c>
      <c r="KH10" s="323">
        <v>45944</v>
      </c>
      <c r="KI10" s="323">
        <v>45945</v>
      </c>
      <c r="KJ10" s="323">
        <v>45946</v>
      </c>
      <c r="KK10" s="323">
        <v>45947</v>
      </c>
      <c r="KL10" s="323">
        <v>45948</v>
      </c>
      <c r="KM10" s="323">
        <v>45949</v>
      </c>
      <c r="KN10" s="323">
        <v>45950</v>
      </c>
      <c r="KO10" s="323">
        <v>45951</v>
      </c>
      <c r="KP10" s="323">
        <v>45952</v>
      </c>
      <c r="KQ10" s="323">
        <v>45953</v>
      </c>
      <c r="KR10" s="323">
        <v>45954</v>
      </c>
      <c r="KS10" s="323">
        <v>45955</v>
      </c>
      <c r="KT10" s="323">
        <v>45956</v>
      </c>
      <c r="KU10" s="323">
        <v>45957</v>
      </c>
      <c r="KV10" s="323">
        <v>45958</v>
      </c>
      <c r="KW10" s="323">
        <v>45959</v>
      </c>
      <c r="KX10" s="323">
        <v>45960</v>
      </c>
      <c r="KY10" s="323">
        <v>45961</v>
      </c>
      <c r="KZ10" s="323">
        <v>45962</v>
      </c>
      <c r="LA10" s="323">
        <v>45963</v>
      </c>
      <c r="LB10" s="323">
        <v>45964</v>
      </c>
      <c r="LC10" s="323">
        <v>45965</v>
      </c>
      <c r="LD10" s="323">
        <v>45966</v>
      </c>
      <c r="LE10" s="323">
        <v>45967</v>
      </c>
      <c r="LF10" s="323">
        <v>45968</v>
      </c>
      <c r="LG10" s="323">
        <v>45969</v>
      </c>
      <c r="LH10" s="323">
        <v>45970</v>
      </c>
      <c r="LI10" s="323">
        <v>45971</v>
      </c>
      <c r="LJ10" s="323">
        <v>45972</v>
      </c>
      <c r="LK10" s="323">
        <v>45973</v>
      </c>
      <c r="LL10" s="323">
        <v>45974</v>
      </c>
      <c r="LM10" s="323">
        <v>45975</v>
      </c>
      <c r="LN10" s="323">
        <v>45976</v>
      </c>
      <c r="LO10" s="323">
        <v>45977</v>
      </c>
      <c r="LP10" s="323">
        <v>45978</v>
      </c>
      <c r="LQ10" s="323">
        <v>45979</v>
      </c>
      <c r="LR10" s="323">
        <v>45980</v>
      </c>
      <c r="LS10" s="323">
        <v>45981</v>
      </c>
      <c r="LT10" s="323">
        <v>45982</v>
      </c>
      <c r="LU10" s="323">
        <v>45983</v>
      </c>
      <c r="LV10" s="323">
        <v>45984</v>
      </c>
      <c r="LW10" s="323">
        <v>45985</v>
      </c>
      <c r="LX10" s="323">
        <v>45986</v>
      </c>
      <c r="LY10" s="323">
        <v>45987</v>
      </c>
      <c r="LZ10" s="323">
        <v>45988</v>
      </c>
      <c r="MA10" s="323">
        <v>45989</v>
      </c>
      <c r="MB10" s="323">
        <v>45990</v>
      </c>
      <c r="MC10" s="323">
        <v>45991</v>
      </c>
      <c r="MD10" s="323">
        <v>45992</v>
      </c>
      <c r="ME10" s="323">
        <v>45993</v>
      </c>
      <c r="MF10" s="323">
        <v>45994</v>
      </c>
      <c r="MG10" s="323">
        <v>45995</v>
      </c>
      <c r="MH10" s="323">
        <v>45996</v>
      </c>
      <c r="MI10" s="323">
        <v>45997</v>
      </c>
      <c r="MJ10" s="323">
        <v>45998</v>
      </c>
      <c r="MK10" s="323">
        <v>45999</v>
      </c>
      <c r="ML10" s="323">
        <v>46000</v>
      </c>
      <c r="MM10" s="323">
        <v>46001</v>
      </c>
      <c r="MN10" s="323">
        <v>46002</v>
      </c>
      <c r="MO10" s="323">
        <v>46003</v>
      </c>
      <c r="MP10" s="323">
        <v>46004</v>
      </c>
      <c r="MQ10" s="323">
        <v>46005</v>
      </c>
      <c r="MR10" s="323">
        <v>46006</v>
      </c>
      <c r="MS10" s="323">
        <v>46007</v>
      </c>
      <c r="MT10" s="323">
        <v>46008</v>
      </c>
      <c r="MU10" s="323">
        <v>46009</v>
      </c>
      <c r="MV10" s="323">
        <v>46010</v>
      </c>
      <c r="MW10" s="323">
        <v>46011</v>
      </c>
      <c r="MX10" s="323">
        <v>46012</v>
      </c>
      <c r="MY10" s="323">
        <v>46013</v>
      </c>
      <c r="MZ10" s="323">
        <v>46014</v>
      </c>
      <c r="NA10" s="323">
        <v>46015</v>
      </c>
      <c r="NB10" s="323">
        <v>46016</v>
      </c>
      <c r="NC10" s="323">
        <v>46017</v>
      </c>
      <c r="ND10" s="323">
        <v>46018</v>
      </c>
      <c r="NE10" s="323">
        <v>46019</v>
      </c>
      <c r="NF10" s="323">
        <v>46020</v>
      </c>
      <c r="NG10" s="323">
        <v>46021</v>
      </c>
      <c r="NH10" s="323">
        <v>46022</v>
      </c>
      <c r="NI10" s="433">
        <v>46023</v>
      </c>
      <c r="NJ10" s="434">
        <v>46024</v>
      </c>
      <c r="NK10" s="434">
        <v>46025</v>
      </c>
      <c r="NL10" s="434">
        <v>46026</v>
      </c>
      <c r="NM10" s="434">
        <v>46027</v>
      </c>
      <c r="NN10" s="434">
        <v>46028</v>
      </c>
      <c r="NO10" s="434">
        <v>46029</v>
      </c>
      <c r="NP10" s="434">
        <v>46030</v>
      </c>
      <c r="NQ10" s="434">
        <v>46031</v>
      </c>
      <c r="NR10" s="434">
        <v>46032</v>
      </c>
      <c r="NS10" s="434">
        <v>46033</v>
      </c>
      <c r="NT10" s="434">
        <v>46034</v>
      </c>
      <c r="NU10" s="434">
        <v>46035</v>
      </c>
      <c r="NV10" s="434">
        <v>46036</v>
      </c>
      <c r="NW10" s="434">
        <v>46037</v>
      </c>
      <c r="NX10" s="323">
        <v>46038</v>
      </c>
      <c r="NY10" s="323">
        <v>46039</v>
      </c>
      <c r="NZ10" s="323">
        <v>46040</v>
      </c>
      <c r="OA10" s="323">
        <v>46041</v>
      </c>
      <c r="OB10" s="323">
        <v>46042</v>
      </c>
      <c r="OC10" s="323">
        <v>46043</v>
      </c>
      <c r="OD10" s="323">
        <v>46044</v>
      </c>
      <c r="OE10" s="323">
        <v>46045</v>
      </c>
      <c r="OF10" s="323">
        <v>46046</v>
      </c>
      <c r="OG10" s="323">
        <v>46047</v>
      </c>
      <c r="OH10" s="323">
        <v>46048</v>
      </c>
      <c r="OI10" s="323">
        <v>46049</v>
      </c>
      <c r="OJ10" s="323">
        <v>46050</v>
      </c>
      <c r="OK10" s="323">
        <v>46051</v>
      </c>
      <c r="OL10" s="323">
        <v>46052</v>
      </c>
      <c r="OM10" s="323">
        <v>46053</v>
      </c>
    </row>
    <row r="11" spans="1:403" ht="25" customHeight="1" x14ac:dyDescent="0.35">
      <c r="A11" s="324"/>
      <c r="B11" s="319"/>
      <c r="C11" s="320" t="s">
        <v>27</v>
      </c>
      <c r="D11" s="320" t="s">
        <v>28</v>
      </c>
      <c r="E11" s="320" t="s">
        <v>29</v>
      </c>
      <c r="F11" s="425"/>
      <c r="G11" s="330" t="s">
        <v>18</v>
      </c>
      <c r="H11" s="322" t="str">
        <f>VLOOKUP($G$11,Nitrat_begr[],2,0)</f>
        <v>R</v>
      </c>
      <c r="I11" s="321" t="str">
        <f>VLOOKUP($G$11,Nitrat_begr[],2,0)</f>
        <v>R</v>
      </c>
      <c r="J11" s="321" t="str">
        <f>VLOOKUP($G$11,Nitrat_begr[],2,0)</f>
        <v>R</v>
      </c>
      <c r="K11" s="321" t="str">
        <f>VLOOKUP($G$11,Nitrat_begr[],2,0)</f>
        <v>R</v>
      </c>
      <c r="L11" s="321" t="str">
        <f>VLOOKUP($G$11,Nitrat_begr[],2,0)</f>
        <v>R</v>
      </c>
      <c r="M11" s="321" t="str">
        <f>VLOOKUP($G$11,Nitrat_begr[],3,0)</f>
        <v>R</v>
      </c>
      <c r="N11" s="321" t="str">
        <f>VLOOKUP($G$11,Nitrat_begr[],3,0)</f>
        <v>R</v>
      </c>
      <c r="O11" s="321" t="str">
        <f>VLOOKUP($G$11,Nitrat_begr[],3,0)</f>
        <v>R</v>
      </c>
      <c r="P11" s="321" t="str">
        <f>VLOOKUP($G$11,Nitrat_begr[],3,0)</f>
        <v>R</v>
      </c>
      <c r="Q11" s="321" t="str">
        <f>VLOOKUP($G$11,Nitrat_begr[],3,0)</f>
        <v>R</v>
      </c>
      <c r="R11" s="321" t="str">
        <f>VLOOKUP($G$11,Nitrat_begr[],3,0)</f>
        <v>R</v>
      </c>
      <c r="S11" s="321" t="str">
        <f>VLOOKUP($G$11,Nitrat_begr[],3,0)</f>
        <v>R</v>
      </c>
      <c r="T11" s="321" t="str">
        <f>VLOOKUP($G$11,Nitrat_begr[],3,0)</f>
        <v>R</v>
      </c>
      <c r="U11" s="321" t="str">
        <f>VLOOKUP($G$11,Nitrat_begr[],3,0)</f>
        <v>R</v>
      </c>
      <c r="V11" s="321" t="str">
        <f>VLOOKUP($G$11,Nitrat_begr[],3,0)</f>
        <v>R</v>
      </c>
      <c r="W11" s="321" t="str">
        <f>VLOOKUP($G$11,Nitrat_begr[],3,0)</f>
        <v>R</v>
      </c>
      <c r="X11" s="321" t="str">
        <f>VLOOKUP($G$11,Nitrat_begr[],3,0)</f>
        <v>R</v>
      </c>
      <c r="Y11" s="321" t="str">
        <f>VLOOKUP($G$11,Nitrat_begr[],3,0)</f>
        <v>R</v>
      </c>
      <c r="Z11" s="321" t="str">
        <f>VLOOKUP($G$11,Nitrat_begr[],3,0)</f>
        <v>R</v>
      </c>
      <c r="AA11" s="321" t="str">
        <f>VLOOKUP($G$11,Nitrat_begr[],3,0)</f>
        <v>R</v>
      </c>
      <c r="AB11" s="321" t="str">
        <f>VLOOKUP($G$11,Nitrat_begr[],3,0)</f>
        <v>R</v>
      </c>
      <c r="AC11" s="321" t="str">
        <f>VLOOKUP($G$11,Nitrat_begr[],3,0)</f>
        <v>R</v>
      </c>
      <c r="AD11" s="321" t="str">
        <f>VLOOKUP($G$11,Nitrat_begr[],3,0)</f>
        <v>R</v>
      </c>
      <c r="AE11" s="321" t="str">
        <f>VLOOKUP($G$11,Nitrat_begr[],3,0)</f>
        <v>R</v>
      </c>
      <c r="AF11" s="321" t="str">
        <f>VLOOKUP($G$11,Nitrat_begr[],3,0)</f>
        <v>R</v>
      </c>
      <c r="AG11" s="321" t="str">
        <f>VLOOKUP($G$11,Nitrat_begr[],3,0)</f>
        <v>R</v>
      </c>
      <c r="AH11" s="321" t="str">
        <f>VLOOKUP($G$11,Nitrat_begr[],3,0)</f>
        <v>R</v>
      </c>
      <c r="AI11" s="321" t="str">
        <f>VLOOKUP($G$11,Nitrat_begr[],3,0)</f>
        <v>R</v>
      </c>
      <c r="AJ11" s="321" t="str">
        <f>VLOOKUP($G$11,Nitrat_begr[],3,0)</f>
        <v>R</v>
      </c>
      <c r="AK11" s="321" t="str">
        <f>VLOOKUP($G$11,Nitrat_begr[],3,0)</f>
        <v>R</v>
      </c>
      <c r="AL11" s="321" t="str">
        <f>VLOOKUP($G$11,Nitrat_begr[],3,0)</f>
        <v>R</v>
      </c>
      <c r="AM11" s="321" t="str">
        <f>VLOOKUP($G$11,Nitrat_begr[],3,0)</f>
        <v>R</v>
      </c>
      <c r="AN11" s="321" t="str">
        <f>VLOOKUP($G$11,Nitrat_begr[],3,0)</f>
        <v>R</v>
      </c>
      <c r="AO11" s="321" t="str">
        <f>VLOOKUP($G$11,Nitrat_begr[],3,0)</f>
        <v>R</v>
      </c>
      <c r="AP11" s="321" t="str">
        <f>VLOOKUP($G$11,Nitrat_begr[],3,0)</f>
        <v>R</v>
      </c>
      <c r="AQ11" s="321" t="str">
        <f>VLOOKUP($G$11,Nitrat_begr[],3,0)</f>
        <v>R</v>
      </c>
      <c r="AR11" s="321" t="str">
        <f>VLOOKUP($G$11,Nitrat_begr[],3,0)</f>
        <v>R</v>
      </c>
      <c r="AS11" s="321" t="str">
        <f>VLOOKUP($G$11,Nitrat_begr[],3,0)</f>
        <v>R</v>
      </c>
      <c r="AT11" s="321" t="str">
        <f>VLOOKUP($G$11,Nitrat_begr[],3,0)</f>
        <v>R</v>
      </c>
      <c r="AU11" s="321" t="str">
        <f>VLOOKUP($G$11,Nitrat_begr[],3,0)</f>
        <v>R</v>
      </c>
      <c r="AV11" s="321" t="str">
        <f>VLOOKUP($G$11,Nitrat_begr[],3,0)</f>
        <v>R</v>
      </c>
      <c r="AW11" s="321" t="str">
        <f>VLOOKUP($G$11,Nitrat_begr[],3,0)</f>
        <v>R</v>
      </c>
      <c r="AX11" s="321" t="str">
        <f>VLOOKUP($G$11,Nitrat_begr[],3,0)</f>
        <v>R</v>
      </c>
      <c r="AY11" s="321" t="str">
        <f>VLOOKUP($G$11,Nitrat_begr[],3,0)</f>
        <v>R</v>
      </c>
      <c r="AZ11" s="321" t="str">
        <f>VLOOKUP($G$11,Nitrat_begr[],3,0)</f>
        <v>R</v>
      </c>
      <c r="BA11" s="321" t="str">
        <f>VLOOKUP($G$11,Nitrat_begr[],3,0)</f>
        <v>R</v>
      </c>
      <c r="BB11" s="321" t="str">
        <f>VLOOKUP($G$11,Nitrat_begr[],3,0)</f>
        <v>R</v>
      </c>
      <c r="BC11" s="321" t="str">
        <f>VLOOKUP($G$11,Nitrat_begr[],3,0)</f>
        <v>R</v>
      </c>
      <c r="BD11" s="321" t="str">
        <f>VLOOKUP($G$11,Nitrat_begr[],3,0)</f>
        <v>R</v>
      </c>
      <c r="BE11" s="321" t="str">
        <f>VLOOKUP($G$11,Nitrat_begr[],3,0)</f>
        <v>R</v>
      </c>
      <c r="BF11" s="321" t="str">
        <f>VLOOKUP($G$11,Nitrat_begr[],3,0)</f>
        <v>R</v>
      </c>
      <c r="BG11" s="321" t="str">
        <f>VLOOKUP($G$11,Nitrat_begr[],3,0)</f>
        <v>R</v>
      </c>
      <c r="BH11" s="321" t="str">
        <f>VLOOKUP($G$11,Nitrat_begr[],3,0)</f>
        <v>R</v>
      </c>
      <c r="BI11" s="321" t="str">
        <f>VLOOKUP($G$11,Nitrat_begr[],3,0)</f>
        <v>R</v>
      </c>
      <c r="BJ11" s="321" t="str">
        <f>VLOOKUP($G$11,Nitrat_begr[],3,0)</f>
        <v>R</v>
      </c>
      <c r="BK11" s="321" t="str">
        <f>VLOOKUP($G$11,Nitrat_begr[],3,0)</f>
        <v>R</v>
      </c>
      <c r="BL11" s="321" t="str">
        <f>VLOOKUP($G$11,Nitrat_begr[],3,0)</f>
        <v>R</v>
      </c>
      <c r="BM11" s="321" t="str">
        <f>VLOOKUP($G$11,Nitrat_begr[],3,0)</f>
        <v>R</v>
      </c>
      <c r="BN11" s="321" t="str">
        <f>VLOOKUP($G$11,Nitrat_begr[],3,0)</f>
        <v>R</v>
      </c>
      <c r="BO11" s="321" t="str">
        <f>VLOOKUP($G$11,Nitrat_begr[],10,0)</f>
        <v>OK</v>
      </c>
      <c r="BP11" s="321" t="str">
        <f>VLOOKUP($G$11,Nitrat_begr[],10,0)</f>
        <v>OK</v>
      </c>
      <c r="BQ11" s="321" t="str">
        <f>VLOOKUP($G$11,Nitrat_begr[],10,0)</f>
        <v>OK</v>
      </c>
      <c r="BR11" s="321" t="str">
        <f>VLOOKUP($G$11,Nitrat_begr[],10,0)</f>
        <v>OK</v>
      </c>
      <c r="BS11" s="321" t="str">
        <f>VLOOKUP($G$11,Nitrat_begr[],10,0)</f>
        <v>OK</v>
      </c>
      <c r="BT11" s="321" t="str">
        <f>VLOOKUP($G$11,Nitrat_begr[],10,0)</f>
        <v>OK</v>
      </c>
      <c r="BU11" s="321" t="str">
        <f>VLOOKUP($G$11,Nitrat_begr[],10,0)</f>
        <v>OK</v>
      </c>
      <c r="BV11" s="321" t="str">
        <f>VLOOKUP($G$11,Nitrat_begr[],10,0)</f>
        <v>OK</v>
      </c>
      <c r="BW11" s="321" t="str">
        <f>VLOOKUP($G$11,Nitrat_begr[],10,0)</f>
        <v>OK</v>
      </c>
      <c r="BX11" s="321" t="str">
        <f>VLOOKUP($G$11,Nitrat_begr[],10,0)</f>
        <v>OK</v>
      </c>
      <c r="BY11" s="321" t="str">
        <f>VLOOKUP($G$11,Nitrat_begr[],10,0)</f>
        <v>OK</v>
      </c>
      <c r="BZ11" s="321" t="str">
        <f>VLOOKUP($G$11,Nitrat_begr[],10,0)</f>
        <v>OK</v>
      </c>
      <c r="CA11" s="321" t="str">
        <f>VLOOKUP($G$11,Nitrat_begr[],10,0)</f>
        <v>OK</v>
      </c>
      <c r="CB11" s="321" t="str">
        <f>VLOOKUP($G$11,Nitrat_begr[],10,0)</f>
        <v>OK</v>
      </c>
      <c r="CC11" s="321" t="str">
        <f>VLOOKUP($G$11,Nitrat_begr[],10,0)</f>
        <v>OK</v>
      </c>
      <c r="CD11" s="321" t="str">
        <f>VLOOKUP($G$11,Nitrat_begr[],10,0)</f>
        <v>OK</v>
      </c>
      <c r="CE11" s="321" t="str">
        <f>VLOOKUP($G$11,Nitrat_begr[],10,0)</f>
        <v>OK</v>
      </c>
      <c r="CF11" s="321" t="str">
        <f>VLOOKUP($G$11,Nitrat_begr[],10,0)</f>
        <v>OK</v>
      </c>
      <c r="CG11" s="321" t="str">
        <f>VLOOKUP($G$11,Nitrat_begr[],10,0)</f>
        <v>OK</v>
      </c>
      <c r="CH11" s="321" t="str">
        <f>VLOOKUP($G$11,Nitrat_begr[],10,0)</f>
        <v>OK</v>
      </c>
      <c r="CI11" s="321" t="str">
        <f>VLOOKUP($G$11,Nitrat_begr[],10,0)</f>
        <v>OK</v>
      </c>
      <c r="CJ11" s="321" t="str">
        <f>VLOOKUP($G$11,Nitrat_begr[],10,0)</f>
        <v>OK</v>
      </c>
      <c r="CK11" s="321" t="str">
        <f>VLOOKUP($G$11,Nitrat_begr[],10,0)</f>
        <v>OK</v>
      </c>
      <c r="CL11" s="321" t="str">
        <f>VLOOKUP($G$11,Nitrat_begr[],10,0)</f>
        <v>OK</v>
      </c>
      <c r="CM11" s="321" t="str">
        <f>VLOOKUP($G$11,Nitrat_begr[],10,0)</f>
        <v>OK</v>
      </c>
      <c r="CN11" s="321" t="str">
        <f>VLOOKUP($G$11,Nitrat_begr[],10,0)</f>
        <v>OK</v>
      </c>
      <c r="CO11" s="321" t="str">
        <f>VLOOKUP($G$11,Nitrat_begr[],10,0)</f>
        <v>OK</v>
      </c>
      <c r="CP11" s="321" t="str">
        <f>VLOOKUP($G$11,Nitrat_begr[],10,0)</f>
        <v>OK</v>
      </c>
      <c r="CQ11" s="321" t="str">
        <f>VLOOKUP($G$11,Nitrat_begr[],10,0)</f>
        <v>OK</v>
      </c>
      <c r="CR11" s="321" t="str">
        <f>VLOOKUP($G$11,Nitrat_begr[],10,0)</f>
        <v>OK</v>
      </c>
      <c r="CS11" s="321" t="str">
        <f>VLOOKUP($G$11,Nitrat_begr[],10,0)</f>
        <v>OK</v>
      </c>
      <c r="CT11" s="321" t="str">
        <f>VLOOKUP($G$11,Nitrat_begr[],10,0)</f>
        <v>OK</v>
      </c>
      <c r="CU11" s="321" t="str">
        <f>VLOOKUP($G$11,Nitrat_begr[],10,0)</f>
        <v>OK</v>
      </c>
      <c r="CV11" s="321" t="str">
        <f>VLOOKUP($G$11,Nitrat_begr[],10,0)</f>
        <v>OK</v>
      </c>
      <c r="CW11" s="321" t="str">
        <f>VLOOKUP($G$11,Nitrat_begr[],10,0)</f>
        <v>OK</v>
      </c>
      <c r="CX11" s="321" t="str">
        <f>VLOOKUP($G$11,Nitrat_begr[],10,0)</f>
        <v>OK</v>
      </c>
      <c r="CY11" s="321" t="str">
        <f>VLOOKUP($G$11,Nitrat_begr[],10,0)</f>
        <v>OK</v>
      </c>
      <c r="CZ11" s="321" t="str">
        <f>VLOOKUP($G$11,Nitrat_begr[],10,0)</f>
        <v>OK</v>
      </c>
      <c r="DA11" s="321" t="str">
        <f>VLOOKUP($G$11,Nitrat_begr[],10,0)</f>
        <v>OK</v>
      </c>
      <c r="DB11" s="321" t="str">
        <f>VLOOKUP($G$11,Nitrat_begr[],10,0)</f>
        <v>OK</v>
      </c>
      <c r="DC11" s="321" t="str">
        <f>VLOOKUP($G$11,Nitrat_begr[],10,0)</f>
        <v>OK</v>
      </c>
      <c r="DD11" s="321" t="str">
        <f>VLOOKUP($G$11,Nitrat_begr[],10,0)</f>
        <v>OK</v>
      </c>
      <c r="DE11" s="321" t="str">
        <f>VLOOKUP($G$11,Nitrat_begr[],10,0)</f>
        <v>OK</v>
      </c>
      <c r="DF11" s="321" t="str">
        <f>VLOOKUP($G$11,Nitrat_begr[],10,0)</f>
        <v>OK</v>
      </c>
      <c r="DG11" s="321" t="str">
        <f>VLOOKUP($G$11,Nitrat_begr[],10,0)</f>
        <v>OK</v>
      </c>
      <c r="DH11" s="321" t="str">
        <f>VLOOKUP($G$11,Nitrat_begr[],10,0)</f>
        <v>OK</v>
      </c>
      <c r="DI11" s="321" t="str">
        <f>VLOOKUP($G$11,Nitrat_begr[],10,0)</f>
        <v>OK</v>
      </c>
      <c r="DJ11" s="321" t="str">
        <f>VLOOKUP($G$11,Nitrat_begr[],10,0)</f>
        <v>OK</v>
      </c>
      <c r="DK11" s="321" t="str">
        <f>VLOOKUP($G$11,Nitrat_begr[],10,0)</f>
        <v>OK</v>
      </c>
      <c r="DL11" s="321" t="str">
        <f>VLOOKUP($G$11,Nitrat_begr[],10,0)</f>
        <v>OK</v>
      </c>
      <c r="DM11" s="321" t="str">
        <f>VLOOKUP($G$11,Nitrat_begr[],10,0)</f>
        <v>OK</v>
      </c>
      <c r="DN11" s="321" t="str">
        <f>VLOOKUP($G$11,Nitrat_begr[],10,0)</f>
        <v>OK</v>
      </c>
      <c r="DO11" s="321" t="str">
        <f>VLOOKUP($G$11,Nitrat_begr[],10,0)</f>
        <v>OK</v>
      </c>
      <c r="DP11" s="321" t="str">
        <f>VLOOKUP($G$11,Nitrat_begr[],10,0)</f>
        <v>OK</v>
      </c>
      <c r="DQ11" s="321" t="str">
        <f>VLOOKUP($G$11,Nitrat_begr[],10,0)</f>
        <v>OK</v>
      </c>
      <c r="DR11" s="321" t="str">
        <f>VLOOKUP($G$11,Nitrat_begr[],10,0)</f>
        <v>OK</v>
      </c>
      <c r="DS11" s="321" t="str">
        <f>VLOOKUP($G$11,Nitrat_begr[],10,0)</f>
        <v>OK</v>
      </c>
      <c r="DT11" s="321" t="str">
        <f>VLOOKUP($G$11,Nitrat_begr[],10,0)</f>
        <v>OK</v>
      </c>
      <c r="DU11" s="321" t="str">
        <f>VLOOKUP($G$11,Nitrat_begr[],10,0)</f>
        <v>OK</v>
      </c>
      <c r="DV11" s="321" t="str">
        <f>VLOOKUP($G$11,Nitrat_begr[],10,0)</f>
        <v>OK</v>
      </c>
      <c r="DW11" s="321" t="str">
        <f>VLOOKUP($G$11,Nitrat_begr[],10,0)</f>
        <v>OK</v>
      </c>
      <c r="DX11" s="321" t="str">
        <f>VLOOKUP($G$11,Nitrat_begr[],10,0)</f>
        <v>OK</v>
      </c>
      <c r="DY11" s="321" t="str">
        <f>VLOOKUP($G$11,Nitrat_begr[],10,0)</f>
        <v>OK</v>
      </c>
      <c r="DZ11" s="321" t="str">
        <f>VLOOKUP($G$11,Nitrat_begr[],10,0)</f>
        <v>OK</v>
      </c>
      <c r="EA11" s="321" t="str">
        <f>VLOOKUP($G$11,Nitrat_begr[],10,0)</f>
        <v>OK</v>
      </c>
      <c r="EB11" s="321" t="str">
        <f>VLOOKUP($G$11,Nitrat_begr[],10,0)</f>
        <v>OK</v>
      </c>
      <c r="EC11" s="321" t="str">
        <f>VLOOKUP($G$11,Nitrat_begr[],10,0)</f>
        <v>OK</v>
      </c>
      <c r="ED11" s="321" t="str">
        <f>VLOOKUP($G$11,Nitrat_begr[],10,0)</f>
        <v>OK</v>
      </c>
      <c r="EE11" s="321" t="str">
        <f>VLOOKUP($G$11,Nitrat_begr[],10,0)</f>
        <v>OK</v>
      </c>
      <c r="EF11" s="321" t="str">
        <f>VLOOKUP($G$11,Nitrat_begr[],10,0)</f>
        <v>OK</v>
      </c>
      <c r="EG11" s="321" t="str">
        <f>VLOOKUP($G$11,Nitrat_begr[],10,0)</f>
        <v>OK</v>
      </c>
      <c r="EH11" s="321" t="str">
        <f>VLOOKUP($G$11,Nitrat_begr[],10,0)</f>
        <v>OK</v>
      </c>
      <c r="EI11" s="321" t="str">
        <f>VLOOKUP($G$11,Nitrat_begr[],10,0)</f>
        <v>OK</v>
      </c>
      <c r="EJ11" s="321" t="str">
        <f>VLOOKUP($G$11,Nitrat_begr[],10,0)</f>
        <v>OK</v>
      </c>
      <c r="EK11" s="321" t="str">
        <f>VLOOKUP($G$11,Nitrat_begr[],10,0)</f>
        <v>OK</v>
      </c>
      <c r="EL11" s="321" t="str">
        <f>VLOOKUP($G$11,Nitrat_begr[],10,0)</f>
        <v>OK</v>
      </c>
      <c r="EM11" s="321" t="str">
        <f>VLOOKUP($G$11,Nitrat_begr[],10,0)</f>
        <v>OK</v>
      </c>
      <c r="EN11" s="321" t="str">
        <f>VLOOKUP($G$11,Nitrat_begr[],10,0)</f>
        <v>OK</v>
      </c>
      <c r="EO11" s="321" t="str">
        <f>VLOOKUP($G$11,Nitrat_begr[],10,0)</f>
        <v>OK</v>
      </c>
      <c r="EP11" s="321" t="str">
        <f>VLOOKUP($G$11,Nitrat_begr[],10,0)</f>
        <v>OK</v>
      </c>
      <c r="EQ11" s="321" t="str">
        <f>VLOOKUP($G$11,Nitrat_begr[],10,0)</f>
        <v>OK</v>
      </c>
      <c r="ER11" s="321" t="str">
        <f>VLOOKUP($G$11,Nitrat_begr[],10,0)</f>
        <v>OK</v>
      </c>
      <c r="ES11" s="321" t="str">
        <f>VLOOKUP($G$11,Nitrat_begr[],10,0)</f>
        <v>OK</v>
      </c>
      <c r="ET11" s="321" t="str">
        <f>VLOOKUP($G$11,Nitrat_begr[],10,0)</f>
        <v>OK</v>
      </c>
      <c r="EU11" s="321" t="str">
        <f>VLOOKUP($G$11,Nitrat_begr[],10,0)</f>
        <v>OK</v>
      </c>
      <c r="EV11" s="321" t="str">
        <f>VLOOKUP($G$11,Nitrat_begr[],10,0)</f>
        <v>OK</v>
      </c>
      <c r="EW11" s="321" t="str">
        <f>VLOOKUP($G$11,Nitrat_begr[],10,0)</f>
        <v>OK</v>
      </c>
      <c r="EX11" s="321" t="str">
        <f>VLOOKUP($G$11,Nitrat_begr[],10,0)</f>
        <v>OK</v>
      </c>
      <c r="EY11" s="321" t="str">
        <f>VLOOKUP($G$11,Nitrat_begr[],10,0)</f>
        <v>OK</v>
      </c>
      <c r="EZ11" s="321" t="str">
        <f>VLOOKUP($G$11,Nitrat_begr[],10,0)</f>
        <v>OK</v>
      </c>
      <c r="FA11" s="321" t="str">
        <f>VLOOKUP($G$11,Nitrat_begr[],10,0)</f>
        <v>OK</v>
      </c>
      <c r="FB11" s="321" t="str">
        <f>VLOOKUP($G$11,Nitrat_begr[],10,0)</f>
        <v>OK</v>
      </c>
      <c r="FC11" s="321" t="str">
        <f>VLOOKUP($G$11,Nitrat_begr[],10,0)</f>
        <v>OK</v>
      </c>
      <c r="FD11" s="321" t="str">
        <f>VLOOKUP($G$11,Nitrat_begr[],10,0)</f>
        <v>OK</v>
      </c>
      <c r="FE11" s="321" t="str">
        <f>VLOOKUP($G$11,Nitrat_begr[],10,0)</f>
        <v>OK</v>
      </c>
      <c r="FF11" s="321" t="str">
        <f>VLOOKUP($G$11,Nitrat_begr[],10,0)</f>
        <v>OK</v>
      </c>
      <c r="FG11" s="321" t="str">
        <f>VLOOKUP($G$11,Nitrat_begr[],10,0)</f>
        <v>OK</v>
      </c>
      <c r="FH11" s="321" t="str">
        <f>VLOOKUP($G$11,Nitrat_begr[],10,0)</f>
        <v>OK</v>
      </c>
      <c r="FI11" s="321" t="str">
        <f>VLOOKUP($G$11,Nitrat_begr[],10,0)</f>
        <v>OK</v>
      </c>
      <c r="FJ11" s="321" t="str">
        <f>VLOOKUP($G$11,Nitrat_begr[],10,0)</f>
        <v>OK</v>
      </c>
      <c r="FK11" s="321" t="str">
        <f>VLOOKUP($G$11,Nitrat_begr[],10,0)</f>
        <v>OK</v>
      </c>
      <c r="FL11" s="321" t="str">
        <f>VLOOKUP($G$11,Nitrat_begr[],10,0)</f>
        <v>OK</v>
      </c>
      <c r="FM11" s="321" t="str">
        <f>VLOOKUP($G$11,Nitrat_begr[],10,0)</f>
        <v>OK</v>
      </c>
      <c r="FN11" s="321" t="str">
        <f>VLOOKUP($G$11,Nitrat_begr[],10,0)</f>
        <v>OK</v>
      </c>
      <c r="FO11" s="321" t="str">
        <f>VLOOKUP($G$11,Nitrat_begr[],10,0)</f>
        <v>OK</v>
      </c>
      <c r="FP11" s="321" t="str">
        <f>VLOOKUP($G$11,Nitrat_begr[],10,0)</f>
        <v>OK</v>
      </c>
      <c r="FQ11" s="321" t="str">
        <f>VLOOKUP($G$11,Nitrat_begr[],10,0)</f>
        <v>OK</v>
      </c>
      <c r="FR11" s="321" t="str">
        <f>VLOOKUP($G$11,Nitrat_begr[],10,0)</f>
        <v>OK</v>
      </c>
      <c r="FS11" s="321" t="str">
        <f>VLOOKUP($G$11,Nitrat_begr[],10,0)</f>
        <v>OK</v>
      </c>
      <c r="FT11" s="321" t="str">
        <f>VLOOKUP($G$11,Nitrat_begr[],10,0)</f>
        <v>OK</v>
      </c>
      <c r="FU11" s="321" t="str">
        <f>VLOOKUP($G$11,Nitrat_begr[],10,0)</f>
        <v>OK</v>
      </c>
      <c r="FV11" s="321" t="str">
        <f>VLOOKUP($G$11,Nitrat_begr[],10,0)</f>
        <v>OK</v>
      </c>
      <c r="FW11" s="321" t="str">
        <f>VLOOKUP($G$11,Nitrat_begr[],10,0)</f>
        <v>OK</v>
      </c>
      <c r="FX11" s="321" t="str">
        <f>VLOOKUP($G$11,Nitrat_begr[],10,0)</f>
        <v>OK</v>
      </c>
      <c r="FY11" s="321" t="str">
        <f>VLOOKUP($G$11,Nitrat_begr[],10,0)</f>
        <v>OK</v>
      </c>
      <c r="FZ11" s="321" t="str">
        <f>VLOOKUP($G$11,Nitrat_begr[],10,0)</f>
        <v>OK</v>
      </c>
      <c r="GA11" s="321" t="str">
        <f>VLOOKUP($G$11,Nitrat_begr[],10,0)</f>
        <v>OK</v>
      </c>
      <c r="GB11" s="321" t="str">
        <f>VLOOKUP($G$11,Nitrat_begr[],10,0)</f>
        <v>OK</v>
      </c>
      <c r="GC11" s="321" t="str">
        <f>VLOOKUP($G$11,Nitrat_begr[],10,0)</f>
        <v>OK</v>
      </c>
      <c r="GD11" s="321" t="str">
        <f>VLOOKUP($G$11,Nitrat_begr[],10,0)</f>
        <v>OK</v>
      </c>
      <c r="GE11" s="321" t="str">
        <f>VLOOKUP($G$11,Nitrat_begr[],10,0)</f>
        <v>OK</v>
      </c>
      <c r="GF11" s="321" t="str">
        <f>VLOOKUP($G$11,Nitrat_begr[],10,0)</f>
        <v>OK</v>
      </c>
      <c r="GG11" s="321" t="str">
        <f>VLOOKUP($G$11,Nitrat_begr[],10,0)</f>
        <v>OK</v>
      </c>
      <c r="GH11" s="321" t="str">
        <f>VLOOKUP($G$11,Nitrat_begr[],10,0)</f>
        <v>OK</v>
      </c>
      <c r="GI11" s="321" t="str">
        <f>VLOOKUP($G$11,Nitrat_begr[],10,0)</f>
        <v>OK</v>
      </c>
      <c r="GJ11" s="321" t="str">
        <f>VLOOKUP($G$11,Nitrat_begr[],10,0)</f>
        <v>OK</v>
      </c>
      <c r="GK11" s="321" t="str">
        <f>VLOOKUP($G$11,Nitrat_begr[],10,0)</f>
        <v>OK</v>
      </c>
      <c r="GL11" s="321" t="str">
        <f>VLOOKUP($G$11,Nitrat_begr[],10,0)</f>
        <v>OK</v>
      </c>
      <c r="GM11" s="321" t="str">
        <f>VLOOKUP($G$11,Nitrat_begr[],10,0)</f>
        <v>OK</v>
      </c>
      <c r="GN11" s="321" t="str">
        <f>VLOOKUP($G$11,Nitrat_begr[],10,0)</f>
        <v>OK</v>
      </c>
      <c r="GO11" s="321" t="str">
        <f>VLOOKUP($G$11,Nitrat_begr[],10,0)</f>
        <v>OK</v>
      </c>
      <c r="GP11" s="321" t="str">
        <f>VLOOKUP($G$11,Nitrat_begr[],10,0)</f>
        <v>OK</v>
      </c>
      <c r="GQ11" s="321" t="str">
        <f>VLOOKUP($G$11,Nitrat_begr[],10,0)</f>
        <v>OK</v>
      </c>
      <c r="GR11" s="321" t="str">
        <f>VLOOKUP($G$11,Nitrat_begr[],10,0)</f>
        <v>OK</v>
      </c>
      <c r="GS11" s="321" t="str">
        <f>VLOOKUP($G$11,Nitrat_begr[],10,0)</f>
        <v>OK</v>
      </c>
      <c r="GT11" s="321" t="str">
        <f>VLOOKUP($G$11,Nitrat_begr[],10,0)</f>
        <v>OK</v>
      </c>
      <c r="GU11" s="321" t="str">
        <f>VLOOKUP($G$11,Nitrat_begr[],10,0)</f>
        <v>OK</v>
      </c>
      <c r="GV11" s="321" t="str">
        <f>VLOOKUP($G$11,Nitrat_begr[],10,0)</f>
        <v>OK</v>
      </c>
      <c r="GW11" s="321" t="str">
        <f>VLOOKUP($G$11,Nitrat_begr[],10,0)</f>
        <v>OK</v>
      </c>
      <c r="GX11" s="321" t="str">
        <f>VLOOKUP($G$11,Nitrat_begr[],10,0)</f>
        <v>OK</v>
      </c>
      <c r="GY11" s="321" t="str">
        <f>VLOOKUP($G$11,Nitrat_begr[],10,0)</f>
        <v>OK</v>
      </c>
      <c r="GZ11" s="321" t="str">
        <f>VLOOKUP($G$11,Nitrat_begr[],10,0)</f>
        <v>OK</v>
      </c>
      <c r="HA11" s="321" t="str">
        <f>VLOOKUP($G$11,Nitrat_begr[],10,0)</f>
        <v>OK</v>
      </c>
      <c r="HB11" s="321" t="str">
        <f>VLOOKUP($G$11,Nitrat_begr[],10,0)</f>
        <v>OK</v>
      </c>
      <c r="HC11" s="321" t="str">
        <f>VLOOKUP($G$11,Nitrat_begr[],10,0)</f>
        <v>OK</v>
      </c>
      <c r="HD11" s="321" t="str">
        <f>VLOOKUP($G$11,Nitrat_begr[],10,0)</f>
        <v>OK</v>
      </c>
      <c r="HE11" s="321" t="str">
        <f>VLOOKUP($G$11,Nitrat_begr[],10,0)</f>
        <v>OK</v>
      </c>
      <c r="HF11" s="321" t="str">
        <f>VLOOKUP($G$11,Nitrat_begr[],10,0)</f>
        <v>OK</v>
      </c>
      <c r="HG11" s="321" t="str">
        <f>VLOOKUP($G$11,Nitrat_begr[],10,0)</f>
        <v>OK</v>
      </c>
      <c r="HH11" s="321" t="str">
        <f>VLOOKUP($G$11,Nitrat_begr[],10,0)</f>
        <v>OK</v>
      </c>
      <c r="HI11" s="321" t="str">
        <f>VLOOKUP($G$11,Nitrat_begr[],10,0)</f>
        <v>OK</v>
      </c>
      <c r="HJ11" s="321" t="str">
        <f>VLOOKUP($G$11,Nitrat_begr[],10,0)</f>
        <v>OK</v>
      </c>
      <c r="HK11" s="321" t="str">
        <f>VLOOKUP($G$11,Nitrat_begr[],10,0)</f>
        <v>OK</v>
      </c>
      <c r="HL11" s="321" t="str">
        <f>VLOOKUP($G$11,Nitrat_begr[],10,0)</f>
        <v>OK</v>
      </c>
      <c r="HM11" s="321" t="str">
        <f>VLOOKUP($G$11,Nitrat_begr[],10,0)</f>
        <v>OK</v>
      </c>
      <c r="HN11" s="321" t="str">
        <f>VLOOKUP($G$11,Nitrat_begr[],10,0)</f>
        <v>OK</v>
      </c>
      <c r="HO11" s="321" t="str">
        <f>VLOOKUP($G$11,Nitrat_begr[],10,0)</f>
        <v>OK</v>
      </c>
      <c r="HP11" s="321" t="str">
        <f>VLOOKUP($G$11,Nitrat_begr[],10,0)</f>
        <v>OK</v>
      </c>
      <c r="HQ11" s="321" t="str">
        <f>VLOOKUP($G$11,Nitrat_begr[],10,0)</f>
        <v>OK</v>
      </c>
      <c r="HR11" s="321" t="str">
        <f>VLOOKUP($G$11,Nitrat_begr[],10,0)</f>
        <v>OK</v>
      </c>
      <c r="HS11" s="321" t="str">
        <f>VLOOKUP($G$11,Nitrat_begr[],10,0)</f>
        <v>OK</v>
      </c>
      <c r="HT11" s="321" t="str">
        <f>VLOOKUP($G$11,Nitrat_begr[],10,0)</f>
        <v>OK</v>
      </c>
      <c r="HU11" s="321" t="str">
        <f>VLOOKUP($G$11,Nitrat_begr[],10,0)</f>
        <v>OK</v>
      </c>
      <c r="HV11" s="321" t="str">
        <f>VLOOKUP($G$11,Nitrat_begr[],10,0)</f>
        <v>OK</v>
      </c>
      <c r="HW11" s="321" t="str">
        <f>VLOOKUP($G$11,Nitrat_begr[],10,0)</f>
        <v>OK</v>
      </c>
      <c r="HX11" s="321" t="str">
        <f>VLOOKUP($G$11,Nitrat_begr[],10,0)</f>
        <v>OK</v>
      </c>
      <c r="HY11" s="321" t="str">
        <f>VLOOKUP($G$11,Nitrat_begr[],10,0)</f>
        <v>OK</v>
      </c>
      <c r="HZ11" s="321" t="str">
        <f>VLOOKUP($G$11,Nitrat_begr[],10,0)</f>
        <v>OK</v>
      </c>
      <c r="IA11" s="321" t="str">
        <f>VLOOKUP($G$11,Nitrat_begr[],10,0)</f>
        <v>OK</v>
      </c>
      <c r="IB11" s="321" t="str">
        <f>VLOOKUP($G$11,Nitrat_begr[],10,0)</f>
        <v>OK</v>
      </c>
      <c r="IC11" s="321" t="str">
        <f>VLOOKUP($G$11,Nitrat_begr[],10,0)</f>
        <v>OK</v>
      </c>
      <c r="ID11" s="321" t="str">
        <f>VLOOKUP($G$11,Nitrat_begr[],10,0)</f>
        <v>OK</v>
      </c>
      <c r="IE11" s="321" t="str">
        <f>VLOOKUP($G$11,Nitrat_begr[],10,0)</f>
        <v>OK</v>
      </c>
      <c r="IF11" s="321" t="str">
        <f>VLOOKUP($G$11,Nitrat_begr[],10,0)</f>
        <v>OK</v>
      </c>
      <c r="IG11" s="321" t="str">
        <f>VLOOKUP($G$11,Nitrat_begr[],10,0)</f>
        <v>OK</v>
      </c>
      <c r="IH11" s="321" t="str">
        <f>VLOOKUP($G$11,Nitrat_begr[],10,0)</f>
        <v>OK</v>
      </c>
      <c r="II11" s="321" t="str">
        <f>VLOOKUP($G$11,Nitrat_begr[],10,0)</f>
        <v>OK</v>
      </c>
      <c r="IJ11" s="321" t="str">
        <f>VLOOKUP($G$11,Nitrat_begr[],10,0)</f>
        <v>OK</v>
      </c>
      <c r="IK11" s="321" t="str">
        <f>VLOOKUP($G$11,Nitrat_begr[],10,0)</f>
        <v>OK</v>
      </c>
      <c r="IL11" s="321" t="str">
        <f>VLOOKUP($G$11,Nitrat_begr[],10,0)</f>
        <v>OK</v>
      </c>
      <c r="IM11" s="321" t="str">
        <f>VLOOKUP($G$11,Nitrat_begr[],10,0)</f>
        <v>OK</v>
      </c>
      <c r="IN11" s="321" t="str">
        <f>VLOOKUP($G$11,Nitrat_begr[],10,0)</f>
        <v>OK</v>
      </c>
      <c r="IO11" s="321" t="str">
        <f>VLOOKUP($G$11,Nitrat_begr[],10,0)</f>
        <v>OK</v>
      </c>
      <c r="IP11" s="321" t="str">
        <f>VLOOKUP($G$11,Nitrat_begr[],10,0)</f>
        <v>OK</v>
      </c>
      <c r="IQ11" s="321" t="str">
        <f>VLOOKUP($G$11,Nitrat_begr[],10,0)</f>
        <v>OK</v>
      </c>
      <c r="IR11" s="321" t="str">
        <f>VLOOKUP($G$11,Nitrat_begr[],10,0)</f>
        <v>OK</v>
      </c>
      <c r="IS11" s="321" t="str">
        <f>VLOOKUP($G$11,Nitrat_begr[],10,0)</f>
        <v>OK</v>
      </c>
      <c r="IT11" s="321" t="str">
        <f>VLOOKUP($G$11,Nitrat_begr[],10,0)</f>
        <v>OK</v>
      </c>
      <c r="IU11" s="321" t="str">
        <f>VLOOKUP($G$11,Nitrat_begr[],10,0)</f>
        <v>OK</v>
      </c>
      <c r="IV11" s="321" t="str">
        <f>VLOOKUP($G$11,Nitrat_begr[],10,0)</f>
        <v>OK</v>
      </c>
      <c r="IW11" s="321" t="str">
        <f>VLOOKUP($G$11,Nitrat_begr[],10,0)</f>
        <v>OK</v>
      </c>
      <c r="IX11" s="321" t="str">
        <f>VLOOKUP($G$11,Nitrat_begr[],10,0)</f>
        <v>OK</v>
      </c>
      <c r="IY11" s="321" t="str">
        <f>VLOOKUP($G$11,Nitrat_begr[],10,0)</f>
        <v>OK</v>
      </c>
      <c r="IZ11" s="321" t="str">
        <f>VLOOKUP($G$11,Nitrat_begr[],10,0)</f>
        <v>OK</v>
      </c>
      <c r="JA11" s="321" t="str">
        <f>VLOOKUP($G$11,Nitrat_begr[],10,0)</f>
        <v>OK</v>
      </c>
      <c r="JB11" s="321" t="str">
        <f>VLOOKUP($G$11,Nitrat_begr[],10,0)</f>
        <v>OK</v>
      </c>
      <c r="JC11" s="321" t="str">
        <f>VLOOKUP($G$11,Nitrat_begr[],10,0)</f>
        <v>OK</v>
      </c>
      <c r="JD11" s="321" t="str">
        <f>VLOOKUP($G$11,Nitrat_begr[],10,0)</f>
        <v>OK</v>
      </c>
      <c r="JE11" s="321" t="str">
        <f>VLOOKUP($G$11,Nitrat_begr[],10,0)</f>
        <v>OK</v>
      </c>
      <c r="JF11" s="321" t="str">
        <f>VLOOKUP($G$11,Nitrat_begr[],10,0)</f>
        <v>OK</v>
      </c>
      <c r="JG11" s="321" t="str">
        <f>VLOOKUP($G$11,Nitrat_begr[],10,0)</f>
        <v>OK</v>
      </c>
      <c r="JH11" s="321" t="str">
        <f>VLOOKUP($G$11,Nitrat_begr[],10,0)</f>
        <v>OK</v>
      </c>
      <c r="JI11" s="321" t="str">
        <f>VLOOKUP($G$11,Nitrat_begr[],10,0)</f>
        <v>OK</v>
      </c>
      <c r="JJ11" s="321" t="str">
        <f>VLOOKUP($G$11,Nitrat_begr[],10,0)</f>
        <v>OK</v>
      </c>
      <c r="JK11" s="321" t="str">
        <f>VLOOKUP($G$11,Nitrat_begr[],10,0)</f>
        <v>OK</v>
      </c>
      <c r="JL11" s="321" t="str">
        <f>VLOOKUP($G$11,Nitrat_begr[],10,0)</f>
        <v>OK</v>
      </c>
      <c r="JM11" s="321" t="str">
        <f>VLOOKUP($G$11,Nitrat_begr[],10,0)</f>
        <v>OK</v>
      </c>
      <c r="JN11" s="321" t="str">
        <f>VLOOKUP($G$11,Nitrat_begr[],10,0)</f>
        <v>OK</v>
      </c>
      <c r="JO11" s="321" t="str">
        <f>VLOOKUP($G$11,Nitrat_begr[],10,0)</f>
        <v>OK</v>
      </c>
      <c r="JP11" s="321" t="str">
        <f>VLOOKUP($G$11,Nitrat_begr[],10,0)</f>
        <v>OK</v>
      </c>
      <c r="JQ11" s="321" t="str">
        <f>VLOOKUP($G$11,Nitrat_begr[],10,0)</f>
        <v>OK</v>
      </c>
      <c r="JR11" s="321" t="str">
        <f>VLOOKUP($G$11,Nitrat_begr[],10,0)</f>
        <v>OK</v>
      </c>
      <c r="JS11" s="321" t="str">
        <f>VLOOKUP($G$11,Nitrat_begr[],10,0)</f>
        <v>OK</v>
      </c>
      <c r="JT11" s="321" t="str">
        <f>VLOOKUP($G$11,Nitrat_begr[],10,0)</f>
        <v>OK</v>
      </c>
      <c r="JU11" s="321" t="str">
        <f>VLOOKUP($G$11,Nitrat_begr[],10,0)</f>
        <v>OK</v>
      </c>
      <c r="JV11" s="321" t="str">
        <f>VLOOKUP($G$11,Nitrat_begr[],10,0)</f>
        <v>OK</v>
      </c>
      <c r="JW11" s="321" t="str">
        <f>VLOOKUP($G$11,Nitrat_begr[],10,0)</f>
        <v>OK</v>
      </c>
      <c r="JX11" s="321" t="str">
        <f>VLOOKUP($G$11,Nitrat_begr[],10,0)</f>
        <v>OK</v>
      </c>
      <c r="JY11" s="321" t="str">
        <f>VLOOKUP($G$11,Nitrat_begr[],10,0)</f>
        <v>OK</v>
      </c>
      <c r="JZ11" s="321" t="str">
        <f>VLOOKUP($G$11,Nitrat_begr[],10,0)</f>
        <v>OK</v>
      </c>
      <c r="KA11" s="321" t="str">
        <f>VLOOKUP($G$11,Nitrat_begr[],10,0)</f>
        <v>OK</v>
      </c>
      <c r="KB11" s="321" t="str">
        <f>VLOOKUP($G$11,Nitrat_begr[],10,0)</f>
        <v>OK</v>
      </c>
      <c r="KC11" s="321" t="str">
        <f>VLOOKUP($G$11,Nitrat_begr[],10,0)</f>
        <v>OK</v>
      </c>
      <c r="KD11" s="321" t="str">
        <f>VLOOKUP($G$11,Nitrat_begr[],10,0)</f>
        <v>OK</v>
      </c>
      <c r="KE11" s="321" t="str">
        <f>VLOOKUP($G$11,Nitrat_begr[],10,0)</f>
        <v>OK</v>
      </c>
      <c r="KF11" s="321" t="str">
        <f>VLOOKUP($G$11,Nitrat_begr[],10,0)</f>
        <v>OK</v>
      </c>
      <c r="KG11" s="321" t="str">
        <f>VLOOKUP($G$11,Nitrat_begr[],10,0)</f>
        <v>OK</v>
      </c>
      <c r="KH11" s="321" t="str">
        <f>VLOOKUP($G$11,Nitrat_begr[],10,0)</f>
        <v>OK</v>
      </c>
      <c r="KI11" s="321" t="str">
        <f>VLOOKUP($G$11,Nitrat_begr[],10,0)</f>
        <v>OK</v>
      </c>
      <c r="KJ11" s="321" t="str">
        <f>VLOOKUP($G$11,Nitrat_begr[],10,0)</f>
        <v>OK</v>
      </c>
      <c r="KK11" s="321" t="str">
        <f>VLOOKUP($G$11,Nitrat_begr[],10,0)</f>
        <v>OK</v>
      </c>
      <c r="KL11" s="321" t="str">
        <f>VLOOKUP($G$11,Nitrat_begr[],10,0)</f>
        <v>OK</v>
      </c>
      <c r="KM11" s="321" t="str">
        <f>VLOOKUP($G$11,Nitrat_begr[],10,0)</f>
        <v>OK</v>
      </c>
      <c r="KN11" s="321" t="str">
        <f>VLOOKUP($G$11,Nitrat_begr[],10,0)</f>
        <v>OK</v>
      </c>
      <c r="KO11" s="321" t="str">
        <f>VLOOKUP($G$11,Nitrat_begr[],10,0)</f>
        <v>OK</v>
      </c>
      <c r="KP11" s="321" t="str">
        <f>VLOOKUP($G$11,Nitrat_begr[],10,0)</f>
        <v>OK</v>
      </c>
      <c r="KQ11" s="321" t="str">
        <f>VLOOKUP($G$11,Nitrat_begr[],10,0)</f>
        <v>OK</v>
      </c>
      <c r="KR11" s="321" t="str">
        <f>VLOOKUP($G$11,Nitrat_begr[],10,0)</f>
        <v>OK</v>
      </c>
      <c r="KS11" s="321" t="str">
        <f>VLOOKUP($G$11,Nitrat_begr[],10,0)</f>
        <v>OK</v>
      </c>
      <c r="KT11" s="321" t="str">
        <f>VLOOKUP($G$11,Nitrat_begr[],10,0)</f>
        <v>OK</v>
      </c>
      <c r="KU11" s="321" t="str">
        <f>VLOOKUP($G$11,Nitrat_begr[],10,0)</f>
        <v>OK</v>
      </c>
      <c r="KV11" s="321" t="str">
        <f>VLOOKUP($G$11,Nitrat_begr[],10,0)</f>
        <v>OK</v>
      </c>
      <c r="KW11" s="321" t="str">
        <f>VLOOKUP($G$11,Nitrat_begr[],10,0)</f>
        <v>OK</v>
      </c>
      <c r="KX11" s="321" t="str">
        <f>VLOOKUP($G$11,Nitrat_begr[],10,0)</f>
        <v>OK</v>
      </c>
      <c r="KY11" s="321" t="str">
        <f>VLOOKUP($G$11,Nitrat_begr[],10,0)</f>
        <v>OK</v>
      </c>
      <c r="KZ11" s="321" t="str">
        <f>VLOOKUP($G$11,Nitrat_begr[],3,0)</f>
        <v>R</v>
      </c>
      <c r="LA11" s="321" t="str">
        <f>VLOOKUP($G$11,Nitrat_begr[],3,0)</f>
        <v>R</v>
      </c>
      <c r="LB11" s="321" t="str">
        <f>VLOOKUP($G$11,Nitrat_begr[],3,0)</f>
        <v>R</v>
      </c>
      <c r="LC11" s="321" t="str">
        <f>VLOOKUP($G$11,Nitrat_begr[],3,0)</f>
        <v>R</v>
      </c>
      <c r="LD11" s="321" t="str">
        <f>VLOOKUP($G$11,Nitrat_begr[],3,0)</f>
        <v>R</v>
      </c>
      <c r="LE11" s="321" t="str">
        <f>VLOOKUP($G$11,Nitrat_begr[],3,0)</f>
        <v>R</v>
      </c>
      <c r="LF11" s="321" t="str">
        <f>VLOOKUP($G$11,Nitrat_begr[],3,0)</f>
        <v>R</v>
      </c>
      <c r="LG11" s="321" t="str">
        <f>VLOOKUP($G$11,Nitrat_begr[],3,0)</f>
        <v>R</v>
      </c>
      <c r="LH11" s="321" t="str">
        <f>VLOOKUP($G$11,Nitrat_begr[],3,0)</f>
        <v>R</v>
      </c>
      <c r="LI11" s="321" t="str">
        <f>VLOOKUP($G$11,Nitrat_begr[],3,0)</f>
        <v>R</v>
      </c>
      <c r="LJ11" s="321" t="str">
        <f>VLOOKUP($G$11,Nitrat_begr[],3,0)</f>
        <v>R</v>
      </c>
      <c r="LK11" s="321" t="str">
        <f>VLOOKUP($G$11,Nitrat_begr[],3,0)</f>
        <v>R</v>
      </c>
      <c r="LL11" s="321" t="str">
        <f>VLOOKUP($G$11,Nitrat_begr[],3,0)</f>
        <v>R</v>
      </c>
      <c r="LM11" s="321" t="str">
        <f>VLOOKUP($G$11,Nitrat_begr[],3,0)</f>
        <v>R</v>
      </c>
      <c r="LN11" s="321" t="str">
        <f>VLOOKUP($G$11,Nitrat_begr[],3,0)</f>
        <v>R</v>
      </c>
      <c r="LO11" s="321" t="str">
        <f>VLOOKUP($G$11,Nitrat_begr[],3,0)</f>
        <v>R</v>
      </c>
      <c r="LP11" s="321" t="str">
        <f>VLOOKUP($G$11,Nitrat_begr[],3,0)</f>
        <v>R</v>
      </c>
      <c r="LQ11" s="321" t="str">
        <f>VLOOKUP($G$11,Nitrat_begr[],3,0)</f>
        <v>R</v>
      </c>
      <c r="LR11" s="321" t="str">
        <f>VLOOKUP($G$11,Nitrat_begr[],3,0)</f>
        <v>R</v>
      </c>
      <c r="LS11" s="321" t="str">
        <f>VLOOKUP($G$11,Nitrat_begr[],3,0)</f>
        <v>R</v>
      </c>
      <c r="LT11" s="321" t="str">
        <f>VLOOKUP($G$11,Nitrat_begr[],3,0)</f>
        <v>R</v>
      </c>
      <c r="LU11" s="321" t="str">
        <f>VLOOKUP($G$11,Nitrat_begr[],3,0)</f>
        <v>R</v>
      </c>
      <c r="LV11" s="321" t="str">
        <f>VLOOKUP($G$11,Nitrat_begr[],3,0)</f>
        <v>R</v>
      </c>
      <c r="LW11" s="321" t="str">
        <f>VLOOKUP($G$11,Nitrat_begr[],3,0)</f>
        <v>R</v>
      </c>
      <c r="LX11" s="321" t="str">
        <f>VLOOKUP($G$11,Nitrat_begr[],3,0)</f>
        <v>R</v>
      </c>
      <c r="LY11" s="321" t="str">
        <f>VLOOKUP($G$11,Nitrat_begr[],3,0)</f>
        <v>R</v>
      </c>
      <c r="LZ11" s="321" t="str">
        <f>VLOOKUP($G$11,Nitrat_begr[],3,0)</f>
        <v>R</v>
      </c>
      <c r="MA11" s="321" t="str">
        <f>VLOOKUP($G$11,Nitrat_begr[],3,0)</f>
        <v>R</v>
      </c>
      <c r="MB11" s="321" t="str">
        <f>VLOOKUP($G$11,Nitrat_begr[],3,0)</f>
        <v>R</v>
      </c>
      <c r="MC11" s="321" t="str">
        <f>VLOOKUP($G$11,Nitrat_begr[],3,0)</f>
        <v>R</v>
      </c>
      <c r="MD11" s="321" t="str">
        <f>VLOOKUP($G$11,Nitrat_begr[],3,0)</f>
        <v>R</v>
      </c>
      <c r="ME11" s="321" t="str">
        <f>VLOOKUP($G$11,Nitrat_begr[],3,0)</f>
        <v>R</v>
      </c>
      <c r="MF11" s="321" t="str">
        <f>VLOOKUP($G$11,Nitrat_begr[],3,0)</f>
        <v>R</v>
      </c>
      <c r="MG11" s="321" t="str">
        <f>VLOOKUP($G$11,Nitrat_begr[],3,0)</f>
        <v>R</v>
      </c>
      <c r="MH11" s="321" t="str">
        <f>VLOOKUP($G$11,Nitrat_begr[],3,0)</f>
        <v>R</v>
      </c>
      <c r="MI11" s="321" t="str">
        <f>VLOOKUP($G$11,Nitrat_begr[],3,0)</f>
        <v>R</v>
      </c>
      <c r="MJ11" s="321" t="str">
        <f>VLOOKUP($G$11,Nitrat_begr[],3,0)</f>
        <v>R</v>
      </c>
      <c r="MK11" s="321" t="str">
        <f>VLOOKUP($G$11,Nitrat_begr[],3,0)</f>
        <v>R</v>
      </c>
      <c r="ML11" s="321" t="str">
        <f>VLOOKUP($G$11,Nitrat_begr[],3,0)</f>
        <v>R</v>
      </c>
      <c r="MM11" s="321" t="str">
        <f>VLOOKUP($G$11,Nitrat_begr[],3,0)</f>
        <v>R</v>
      </c>
      <c r="MN11" s="321" t="str">
        <f>VLOOKUP($G$11,Nitrat_begr[],3,0)</f>
        <v>R</v>
      </c>
      <c r="MO11" s="321" t="str">
        <f>VLOOKUP($G$11,Nitrat_begr[],3,0)</f>
        <v>R</v>
      </c>
      <c r="MP11" s="321" t="str">
        <f>VLOOKUP($G$11,Nitrat_begr[],3,0)</f>
        <v>R</v>
      </c>
      <c r="MQ11" s="321" t="str">
        <f>VLOOKUP($G$11,Nitrat_begr[],3,0)</f>
        <v>R</v>
      </c>
      <c r="MR11" s="321" t="str">
        <f>VLOOKUP($G$11,Nitrat_begr[],3,0)</f>
        <v>R</v>
      </c>
      <c r="MS11" s="321" t="str">
        <f>VLOOKUP($G$11,Nitrat_begr[],3,0)</f>
        <v>R</v>
      </c>
      <c r="MT11" s="321" t="str">
        <f>VLOOKUP($G$11,Nitrat_begr[],3,0)</f>
        <v>R</v>
      </c>
      <c r="MU11" s="321" t="str">
        <f>VLOOKUP($G$11,Nitrat_begr[],3,0)</f>
        <v>R</v>
      </c>
      <c r="MV11" s="321" t="str">
        <f>VLOOKUP($G$11,Nitrat_begr[],3,0)</f>
        <v>R</v>
      </c>
      <c r="MW11" s="321" t="str">
        <f>VLOOKUP($G$11,Nitrat_begr[],3,0)</f>
        <v>R</v>
      </c>
      <c r="MX11" s="321" t="str">
        <f>VLOOKUP($G$11,Nitrat_begr[],3,0)</f>
        <v>R</v>
      </c>
      <c r="MY11" s="321" t="str">
        <f>VLOOKUP($G$11,Nitrat_begr[],3,0)</f>
        <v>R</v>
      </c>
      <c r="MZ11" s="321" t="str">
        <f>VLOOKUP($G$11,Nitrat_begr[],3,0)</f>
        <v>R</v>
      </c>
      <c r="NA11" s="321" t="str">
        <f>VLOOKUP($G$11,Nitrat_begr[],3,0)</f>
        <v>R</v>
      </c>
      <c r="NB11" s="321" t="str">
        <f>VLOOKUP($G$11,Nitrat_begr[],3,0)</f>
        <v>R</v>
      </c>
      <c r="NC11" s="321" t="str">
        <f>VLOOKUP($G$11,Nitrat_begr[],3,0)</f>
        <v>R</v>
      </c>
      <c r="ND11" s="321" t="str">
        <f>VLOOKUP($G$11,Nitrat_begr[],3,0)</f>
        <v>R</v>
      </c>
      <c r="NE11" s="321" t="str">
        <f>VLOOKUP($G$11,Nitrat_begr[],3,0)</f>
        <v>R</v>
      </c>
      <c r="NF11" s="321" t="str">
        <f>VLOOKUP($G$11,Nitrat_begr[],3,0)</f>
        <v>R</v>
      </c>
      <c r="NG11" s="321" t="str">
        <f>VLOOKUP($G$11,Nitrat_begr[],3,0)</f>
        <v>R</v>
      </c>
      <c r="NH11" s="321" t="str">
        <f>VLOOKUP($G$11,Nitrat_begr[],3,0)</f>
        <v>R</v>
      </c>
      <c r="NI11" s="430"/>
      <c r="NJ11" s="7"/>
      <c r="NK11" s="7"/>
      <c r="NL11" s="7"/>
      <c r="NM11" s="7"/>
      <c r="NN11" s="7"/>
      <c r="NO11" s="7"/>
      <c r="NP11" s="7"/>
      <c r="NQ11" s="7"/>
      <c r="NR11" s="7"/>
      <c r="NS11" s="7"/>
      <c r="NT11" s="7"/>
      <c r="NU11" s="7"/>
      <c r="NV11" s="7"/>
      <c r="NW11" s="7"/>
    </row>
    <row r="12" spans="1:403" ht="19.5" customHeight="1" x14ac:dyDescent="0.35">
      <c r="A12" s="369"/>
      <c r="B12" s="335"/>
      <c r="C12" s="337">
        <v>45658</v>
      </c>
      <c r="D12" s="338">
        <f>E12-C12</f>
        <v>49</v>
      </c>
      <c r="E12" s="337">
        <f>C13</f>
        <v>45707</v>
      </c>
      <c r="F12" s="465" t="s">
        <v>304</v>
      </c>
      <c r="G12" s="339" t="s">
        <v>35</v>
      </c>
      <c r="H12" s="364"/>
      <c r="I12" s="336"/>
      <c r="J12" s="336"/>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336"/>
      <c r="BE12" s="336"/>
      <c r="BF12" s="336"/>
      <c r="BG12" s="336"/>
      <c r="BH12" s="336"/>
      <c r="BI12" s="340"/>
      <c r="BJ12" s="233"/>
      <c r="BK12" s="233"/>
      <c r="BL12" s="233"/>
      <c r="BM12" s="233"/>
      <c r="BN12" s="233"/>
      <c r="BO12" s="233"/>
      <c r="BP12" s="233"/>
      <c r="BQ12" s="233"/>
      <c r="BR12" s="233"/>
      <c r="BS12" s="233"/>
      <c r="BT12" s="233"/>
      <c r="BU12" s="233"/>
      <c r="BV12" s="233"/>
      <c r="BW12" s="233"/>
      <c r="BX12" s="233"/>
      <c r="BY12" s="233"/>
      <c r="BZ12" s="233"/>
      <c r="CA12" s="233"/>
      <c r="CB12" s="233"/>
      <c r="CC12" s="233"/>
      <c r="CD12" s="233"/>
      <c r="CE12" s="233"/>
      <c r="CF12" s="233"/>
      <c r="CG12" s="233"/>
      <c r="CH12" s="233"/>
      <c r="CI12" s="233"/>
      <c r="CJ12" s="233"/>
      <c r="CK12" s="233"/>
      <c r="CL12" s="233"/>
      <c r="CM12" s="233"/>
      <c r="CN12" s="233"/>
      <c r="CO12" s="233"/>
      <c r="CP12" s="233"/>
      <c r="CQ12" s="233"/>
      <c r="CR12" s="233"/>
      <c r="CS12" s="233"/>
      <c r="CT12" s="233"/>
      <c r="CU12" s="233"/>
      <c r="CV12" s="233"/>
      <c r="CW12" s="233"/>
      <c r="CX12" s="233"/>
      <c r="CY12" s="233"/>
      <c r="CZ12" s="233"/>
      <c r="DA12" s="233"/>
      <c r="DB12" s="233"/>
      <c r="DC12" s="233"/>
      <c r="DD12" s="233"/>
      <c r="DE12" s="233"/>
      <c r="DF12" s="233"/>
      <c r="DG12" s="233"/>
      <c r="DH12" s="233"/>
      <c r="DI12" s="334"/>
      <c r="DJ12" s="8"/>
      <c r="NI12" s="430"/>
      <c r="NJ12" s="7"/>
      <c r="NK12" s="7"/>
      <c r="NL12" s="7"/>
      <c r="NM12" s="7"/>
      <c r="NN12" s="7"/>
      <c r="NO12" s="7"/>
      <c r="NP12" s="7"/>
      <c r="NQ12" s="7"/>
      <c r="NR12" s="7"/>
      <c r="NS12" s="7"/>
      <c r="NT12" s="7"/>
      <c r="NU12" s="7"/>
      <c r="NV12" s="7"/>
      <c r="NW12" s="7"/>
    </row>
    <row r="13" spans="1:403" ht="25" customHeight="1" x14ac:dyDescent="0.35">
      <c r="A13" s="370"/>
      <c r="B13" s="341" t="s">
        <v>302</v>
      </c>
      <c r="C13" s="342">
        <f>E13-D13</f>
        <v>45707</v>
      </c>
      <c r="D13" s="343">
        <v>40</v>
      </c>
      <c r="E13" s="356">
        <f>C14</f>
        <v>45747</v>
      </c>
      <c r="F13" s="466"/>
      <c r="G13" s="344" t="s">
        <v>32</v>
      </c>
      <c r="H13" s="365"/>
      <c r="I13" s="233"/>
      <c r="J13" s="233"/>
      <c r="K13" s="233"/>
      <c r="L13" s="233"/>
      <c r="M13" s="233"/>
      <c r="N13" s="233"/>
      <c r="O13" s="233"/>
      <c r="P13" s="233"/>
      <c r="Q13" s="233"/>
      <c r="R13" s="233"/>
      <c r="S13" s="233"/>
      <c r="T13" s="233"/>
      <c r="U13" s="233"/>
      <c r="V13" s="233"/>
      <c r="W13" s="233"/>
      <c r="X13" s="233"/>
      <c r="Y13" s="233"/>
      <c r="Z13" s="233"/>
      <c r="AA13" s="233"/>
      <c r="AB13" s="233"/>
      <c r="AC13" s="233"/>
      <c r="AD13" s="233"/>
      <c r="AE13" s="233"/>
      <c r="AF13" s="233"/>
      <c r="AG13" s="233"/>
      <c r="AH13" s="233"/>
      <c r="AI13" s="233"/>
      <c r="AJ13" s="233"/>
      <c r="AK13" s="233"/>
      <c r="AL13" s="233"/>
      <c r="AM13" s="233"/>
      <c r="AN13" s="233"/>
      <c r="AO13" s="233"/>
      <c r="AP13" s="233"/>
      <c r="AQ13" s="233"/>
      <c r="AR13" s="233"/>
      <c r="AS13" s="233"/>
      <c r="AT13" s="233"/>
      <c r="AU13" s="233"/>
      <c r="AV13" s="233"/>
      <c r="AW13" s="233"/>
      <c r="AX13" s="233"/>
      <c r="AY13" s="233"/>
      <c r="AZ13" s="233"/>
      <c r="BA13" s="233"/>
      <c r="BB13" s="233"/>
      <c r="BC13" s="233"/>
      <c r="BD13" s="233"/>
      <c r="BE13" s="233"/>
      <c r="BF13" s="233"/>
      <c r="BG13" s="233"/>
      <c r="BH13" s="233"/>
      <c r="BI13" s="340"/>
      <c r="BJ13" s="233"/>
      <c r="BK13" s="233"/>
      <c r="BL13" s="233"/>
      <c r="BM13" s="233"/>
      <c r="BN13" s="233"/>
      <c r="BO13" s="233"/>
      <c r="BP13" s="233"/>
      <c r="BQ13" s="233"/>
      <c r="BR13" s="233"/>
      <c r="BS13" s="233"/>
      <c r="BT13" s="233"/>
      <c r="BU13" s="233"/>
      <c r="BV13" s="233"/>
      <c r="BW13" s="233"/>
      <c r="BX13" s="233"/>
      <c r="BY13" s="233"/>
      <c r="BZ13" s="233"/>
      <c r="CA13" s="233"/>
      <c r="CB13" s="233"/>
      <c r="CC13" s="233"/>
      <c r="CD13" s="233"/>
      <c r="CE13" s="233"/>
      <c r="CF13" s="233"/>
      <c r="CG13" s="233"/>
      <c r="CH13" s="233"/>
      <c r="CI13" s="233"/>
      <c r="CJ13" s="233"/>
      <c r="CK13" s="233"/>
      <c r="CL13" s="233"/>
      <c r="CM13" s="233"/>
      <c r="CN13" s="233"/>
      <c r="CO13" s="233"/>
      <c r="CP13" s="233"/>
      <c r="CQ13" s="233"/>
      <c r="CR13" s="233"/>
      <c r="CS13" s="233"/>
      <c r="CT13" s="233"/>
      <c r="CU13" s="233"/>
      <c r="CV13" s="233"/>
      <c r="CW13" s="233"/>
      <c r="CX13" s="233"/>
      <c r="CY13" s="233"/>
      <c r="CZ13" s="233"/>
      <c r="DA13" s="233"/>
      <c r="DB13" s="233"/>
      <c r="DC13" s="233"/>
      <c r="DD13" s="233"/>
      <c r="DE13" s="233"/>
      <c r="DF13" s="233"/>
      <c r="DG13" s="233"/>
      <c r="DH13" s="233"/>
      <c r="DI13" s="334"/>
      <c r="DJ13" s="8"/>
      <c r="NI13" s="430"/>
      <c r="NJ13" s="7"/>
      <c r="NK13" s="7"/>
      <c r="NL13" s="7"/>
      <c r="NM13" s="7"/>
      <c r="NN13" s="7"/>
      <c r="NO13" s="7"/>
      <c r="NP13" s="7"/>
      <c r="NQ13" s="7"/>
      <c r="NR13" s="7"/>
      <c r="NS13" s="7"/>
      <c r="NT13" s="7"/>
      <c r="NU13" s="7"/>
      <c r="NV13" s="7"/>
      <c r="NW13" s="7"/>
    </row>
    <row r="14" spans="1:403" ht="25" customHeight="1" x14ac:dyDescent="0.35">
      <c r="A14" s="370"/>
      <c r="B14" s="341"/>
      <c r="C14" s="346">
        <f>E14-D14</f>
        <v>45747</v>
      </c>
      <c r="D14" s="347">
        <v>7</v>
      </c>
      <c r="E14" s="356">
        <f>C15</f>
        <v>45754</v>
      </c>
      <c r="F14" s="466"/>
      <c r="G14" s="344" t="s">
        <v>33</v>
      </c>
      <c r="H14" s="365"/>
      <c r="I14" s="233"/>
      <c r="J14" s="233"/>
      <c r="K14" s="233"/>
      <c r="L14" s="233"/>
      <c r="M14" s="233"/>
      <c r="N14" s="233"/>
      <c r="O14" s="233"/>
      <c r="P14" s="233"/>
      <c r="Q14" s="233"/>
      <c r="R14" s="233"/>
      <c r="S14" s="233"/>
      <c r="T14" s="233"/>
      <c r="U14" s="233"/>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340"/>
      <c r="BJ14" s="233"/>
      <c r="BK14" s="233"/>
      <c r="BL14" s="233"/>
      <c r="BM14" s="233"/>
      <c r="BN14" s="233"/>
      <c r="BO14" s="233"/>
      <c r="BP14" s="233"/>
      <c r="BQ14" s="233"/>
      <c r="BR14" s="233"/>
      <c r="BS14" s="233"/>
      <c r="BT14" s="233"/>
      <c r="BU14" s="233"/>
      <c r="BV14" s="233"/>
      <c r="BW14" s="233"/>
      <c r="BX14" s="233"/>
      <c r="BY14" s="233"/>
      <c r="BZ14" s="233"/>
      <c r="CA14" s="233"/>
      <c r="CB14" s="233"/>
      <c r="CC14" s="233"/>
      <c r="CD14" s="233"/>
      <c r="CE14" s="233"/>
      <c r="CF14" s="233"/>
      <c r="CG14" s="233"/>
      <c r="CH14" s="233"/>
      <c r="CI14" s="233"/>
      <c r="CJ14" s="233"/>
      <c r="CK14" s="233"/>
      <c r="CL14" s="233"/>
      <c r="CM14" s="233"/>
      <c r="CN14" s="233"/>
      <c r="CO14" s="233"/>
      <c r="CP14" s="233"/>
      <c r="CQ14" s="233"/>
      <c r="CR14" s="233"/>
      <c r="CS14" s="233"/>
      <c r="CT14" s="233"/>
      <c r="CU14" s="233"/>
      <c r="CV14" s="233"/>
      <c r="CW14" s="233"/>
      <c r="CX14" s="233"/>
      <c r="CY14" s="233"/>
      <c r="CZ14" s="233"/>
      <c r="DA14" s="233"/>
      <c r="DB14" s="233"/>
      <c r="DC14" s="233"/>
      <c r="DD14" s="233"/>
      <c r="DE14" s="233"/>
      <c r="DF14" s="233"/>
      <c r="DG14" s="233"/>
      <c r="DH14" s="233"/>
      <c r="DI14" s="334"/>
      <c r="DJ14" s="8"/>
      <c r="NI14" s="430"/>
      <c r="NJ14" s="7"/>
      <c r="NK14" s="7"/>
      <c r="NL14" s="7"/>
      <c r="NM14" s="7"/>
      <c r="NN14" s="7"/>
      <c r="NO14" s="7"/>
      <c r="NP14" s="7"/>
      <c r="NQ14" s="7"/>
      <c r="NR14" s="7"/>
      <c r="NS14" s="7"/>
      <c r="NT14" s="7"/>
      <c r="NU14" s="7"/>
      <c r="NV14" s="7"/>
      <c r="NW14" s="7"/>
    </row>
    <row r="15" spans="1:403" ht="25" customHeight="1" x14ac:dyDescent="0.35">
      <c r="A15" s="370"/>
      <c r="B15" s="348" t="s">
        <v>303</v>
      </c>
      <c r="C15" s="349">
        <v>45754</v>
      </c>
      <c r="D15" s="350">
        <v>60</v>
      </c>
      <c r="E15" s="360">
        <f>C15+D15</f>
        <v>45814</v>
      </c>
      <c r="F15" s="467"/>
      <c r="G15" s="351" t="s">
        <v>30</v>
      </c>
      <c r="H15" s="373" t="str">
        <f>IF(H10=C15,"#","")</f>
        <v/>
      </c>
      <c r="I15" s="373" t="str">
        <f t="shared" ref="I15:BT15" si="9">IF(I10=D15,"#","")</f>
        <v/>
      </c>
      <c r="J15" s="373" t="str">
        <f t="shared" si="9"/>
        <v/>
      </c>
      <c r="K15" s="373" t="str">
        <f t="shared" si="9"/>
        <v/>
      </c>
      <c r="L15" s="373" t="str">
        <f t="shared" si="9"/>
        <v/>
      </c>
      <c r="M15" s="373" t="str">
        <f t="shared" si="9"/>
        <v/>
      </c>
      <c r="N15" s="373" t="str">
        <f t="shared" si="9"/>
        <v/>
      </c>
      <c r="O15" s="373" t="str">
        <f t="shared" si="9"/>
        <v/>
      </c>
      <c r="P15" s="373" t="str">
        <f t="shared" si="9"/>
        <v/>
      </c>
      <c r="Q15" s="373" t="str">
        <f t="shared" si="9"/>
        <v/>
      </c>
      <c r="R15" s="373" t="str">
        <f t="shared" si="9"/>
        <v/>
      </c>
      <c r="S15" s="373" t="str">
        <f t="shared" si="9"/>
        <v/>
      </c>
      <c r="T15" s="373" t="str">
        <f t="shared" si="9"/>
        <v/>
      </c>
      <c r="U15" s="373" t="str">
        <f t="shared" si="9"/>
        <v/>
      </c>
      <c r="V15" s="373" t="str">
        <f t="shared" si="9"/>
        <v/>
      </c>
      <c r="W15" s="373" t="str">
        <f t="shared" si="9"/>
        <v/>
      </c>
      <c r="X15" s="373" t="str">
        <f t="shared" si="9"/>
        <v/>
      </c>
      <c r="Y15" s="373" t="str">
        <f t="shared" si="9"/>
        <v/>
      </c>
      <c r="Z15" s="373" t="str">
        <f t="shared" si="9"/>
        <v/>
      </c>
      <c r="AA15" s="373" t="str">
        <f t="shared" si="9"/>
        <v/>
      </c>
      <c r="AB15" s="373" t="str">
        <f t="shared" si="9"/>
        <v/>
      </c>
      <c r="AC15" s="373" t="str">
        <f t="shared" si="9"/>
        <v/>
      </c>
      <c r="AD15" s="373" t="str">
        <f t="shared" si="9"/>
        <v/>
      </c>
      <c r="AE15" s="373" t="str">
        <f t="shared" si="9"/>
        <v/>
      </c>
      <c r="AF15" s="373" t="str">
        <f t="shared" si="9"/>
        <v/>
      </c>
      <c r="AG15" s="373" t="str">
        <f t="shared" si="9"/>
        <v/>
      </c>
      <c r="AH15" s="373" t="str">
        <f t="shared" si="9"/>
        <v/>
      </c>
      <c r="AI15" s="373" t="str">
        <f t="shared" si="9"/>
        <v/>
      </c>
      <c r="AJ15" s="373" t="str">
        <f t="shared" si="9"/>
        <v/>
      </c>
      <c r="AK15" s="373" t="str">
        <f t="shared" si="9"/>
        <v/>
      </c>
      <c r="AL15" s="373" t="str">
        <f t="shared" si="9"/>
        <v/>
      </c>
      <c r="AM15" s="373" t="str">
        <f t="shared" si="9"/>
        <v/>
      </c>
      <c r="AN15" s="373" t="str">
        <f t="shared" si="9"/>
        <v/>
      </c>
      <c r="AO15" s="373" t="str">
        <f t="shared" si="9"/>
        <v/>
      </c>
      <c r="AP15" s="373" t="str">
        <f t="shared" si="9"/>
        <v/>
      </c>
      <c r="AQ15" s="373" t="str">
        <f t="shared" si="9"/>
        <v/>
      </c>
      <c r="AR15" s="373" t="str">
        <f t="shared" si="9"/>
        <v/>
      </c>
      <c r="AS15" s="373" t="str">
        <f t="shared" si="9"/>
        <v/>
      </c>
      <c r="AT15" s="373" t="str">
        <f t="shared" si="9"/>
        <v/>
      </c>
      <c r="AU15" s="373" t="str">
        <f t="shared" si="9"/>
        <v/>
      </c>
      <c r="AV15" s="373" t="str">
        <f t="shared" si="9"/>
        <v/>
      </c>
      <c r="AW15" s="373" t="str">
        <f t="shared" si="9"/>
        <v/>
      </c>
      <c r="AX15" s="373" t="str">
        <f t="shared" si="9"/>
        <v/>
      </c>
      <c r="AY15" s="373" t="str">
        <f t="shared" si="9"/>
        <v/>
      </c>
      <c r="AZ15" s="373" t="str">
        <f t="shared" si="9"/>
        <v/>
      </c>
      <c r="BA15" s="373" t="str">
        <f t="shared" si="9"/>
        <v/>
      </c>
      <c r="BB15" s="373" t="str">
        <f t="shared" si="9"/>
        <v/>
      </c>
      <c r="BC15" s="373" t="str">
        <f t="shared" si="9"/>
        <v/>
      </c>
      <c r="BD15" s="373" t="str">
        <f t="shared" si="9"/>
        <v/>
      </c>
      <c r="BE15" s="373" t="str">
        <f t="shared" si="9"/>
        <v/>
      </c>
      <c r="BF15" s="373" t="str">
        <f t="shared" si="9"/>
        <v/>
      </c>
      <c r="BG15" s="373" t="str">
        <f t="shared" si="9"/>
        <v/>
      </c>
      <c r="BH15" s="373" t="str">
        <f t="shared" si="9"/>
        <v/>
      </c>
      <c r="BI15" s="373" t="str">
        <f t="shared" si="9"/>
        <v/>
      </c>
      <c r="BJ15" s="373" t="str">
        <f t="shared" si="9"/>
        <v/>
      </c>
      <c r="BK15" s="373" t="str">
        <f t="shared" si="9"/>
        <v/>
      </c>
      <c r="BL15" s="373" t="str">
        <f t="shared" si="9"/>
        <v/>
      </c>
      <c r="BM15" s="373" t="str">
        <f t="shared" si="9"/>
        <v/>
      </c>
      <c r="BN15" s="373" t="str">
        <f t="shared" si="9"/>
        <v/>
      </c>
      <c r="BO15" s="373" t="str">
        <f t="shared" si="9"/>
        <v/>
      </c>
      <c r="BP15" s="373" t="str">
        <f t="shared" si="9"/>
        <v/>
      </c>
      <c r="BQ15" s="373" t="str">
        <f t="shared" si="9"/>
        <v/>
      </c>
      <c r="BR15" s="373" t="str">
        <f t="shared" si="9"/>
        <v/>
      </c>
      <c r="BS15" s="373" t="str">
        <f t="shared" si="9"/>
        <v/>
      </c>
      <c r="BT15" s="373" t="str">
        <f t="shared" si="9"/>
        <v/>
      </c>
      <c r="BU15" s="373" t="str">
        <f t="shared" ref="BU15:EF15" si="10">IF(BU10=BP15,"#","")</f>
        <v/>
      </c>
      <c r="BV15" s="373" t="str">
        <f t="shared" si="10"/>
        <v/>
      </c>
      <c r="BW15" s="373" t="str">
        <f t="shared" si="10"/>
        <v/>
      </c>
      <c r="BX15" s="373" t="str">
        <f t="shared" si="10"/>
        <v/>
      </c>
      <c r="BY15" s="373" t="str">
        <f t="shared" si="10"/>
        <v/>
      </c>
      <c r="BZ15" s="373" t="str">
        <f t="shared" si="10"/>
        <v/>
      </c>
      <c r="CA15" s="373" t="str">
        <f t="shared" si="10"/>
        <v/>
      </c>
      <c r="CB15" s="373" t="str">
        <f t="shared" si="10"/>
        <v/>
      </c>
      <c r="CC15" s="373" t="str">
        <f t="shared" si="10"/>
        <v/>
      </c>
      <c r="CD15" s="373" t="str">
        <f t="shared" si="10"/>
        <v/>
      </c>
      <c r="CE15" s="373" t="str">
        <f t="shared" si="10"/>
        <v/>
      </c>
      <c r="CF15" s="373" t="str">
        <f t="shared" si="10"/>
        <v/>
      </c>
      <c r="CG15" s="373" t="str">
        <f t="shared" si="10"/>
        <v/>
      </c>
      <c r="CH15" s="373" t="str">
        <f t="shared" si="10"/>
        <v/>
      </c>
      <c r="CI15" s="373" t="str">
        <f t="shared" si="10"/>
        <v/>
      </c>
      <c r="CJ15" s="373" t="str">
        <f t="shared" si="10"/>
        <v/>
      </c>
      <c r="CK15" s="373" t="str">
        <f t="shared" si="10"/>
        <v/>
      </c>
      <c r="CL15" s="373" t="str">
        <f t="shared" si="10"/>
        <v/>
      </c>
      <c r="CM15" s="373" t="str">
        <f t="shared" si="10"/>
        <v/>
      </c>
      <c r="CN15" s="373" t="str">
        <f t="shared" si="10"/>
        <v/>
      </c>
      <c r="CO15" s="373" t="str">
        <f t="shared" si="10"/>
        <v/>
      </c>
      <c r="CP15" s="373" t="str">
        <f t="shared" si="10"/>
        <v/>
      </c>
      <c r="CQ15" s="373" t="str">
        <f t="shared" si="10"/>
        <v/>
      </c>
      <c r="CR15" s="373" t="str">
        <f t="shared" si="10"/>
        <v/>
      </c>
      <c r="CS15" s="373" t="str">
        <f t="shared" si="10"/>
        <v/>
      </c>
      <c r="CT15" s="373" t="str">
        <f t="shared" si="10"/>
        <v/>
      </c>
      <c r="CU15" s="373" t="str">
        <f t="shared" si="10"/>
        <v/>
      </c>
      <c r="CV15" s="373" t="str">
        <f t="shared" si="10"/>
        <v/>
      </c>
      <c r="CW15" s="373" t="str">
        <f t="shared" si="10"/>
        <v/>
      </c>
      <c r="CX15" s="373" t="str">
        <f t="shared" si="10"/>
        <v/>
      </c>
      <c r="CY15" s="373" t="str">
        <f t="shared" si="10"/>
        <v/>
      </c>
      <c r="CZ15" s="373" t="str">
        <f t="shared" si="10"/>
        <v/>
      </c>
      <c r="DA15" s="373" t="str">
        <f t="shared" si="10"/>
        <v/>
      </c>
      <c r="DB15" s="373" t="str">
        <f t="shared" si="10"/>
        <v/>
      </c>
      <c r="DC15" s="373" t="str">
        <f t="shared" si="10"/>
        <v/>
      </c>
      <c r="DD15" s="373" t="str">
        <f t="shared" si="10"/>
        <v/>
      </c>
      <c r="DE15" s="373" t="str">
        <f t="shared" si="10"/>
        <v/>
      </c>
      <c r="DF15" s="373" t="str">
        <f t="shared" si="10"/>
        <v/>
      </c>
      <c r="DG15" s="373" t="str">
        <f t="shared" si="10"/>
        <v/>
      </c>
      <c r="DH15" s="373" t="str">
        <f t="shared" si="10"/>
        <v/>
      </c>
      <c r="DI15" s="373" t="str">
        <f t="shared" si="10"/>
        <v/>
      </c>
      <c r="DJ15" s="373" t="str">
        <f t="shared" si="10"/>
        <v/>
      </c>
      <c r="DK15" s="373" t="str">
        <f t="shared" si="10"/>
        <v/>
      </c>
      <c r="DL15" s="373" t="str">
        <f t="shared" si="10"/>
        <v/>
      </c>
      <c r="DM15" s="373" t="str">
        <f t="shared" si="10"/>
        <v/>
      </c>
      <c r="DN15" s="373" t="str">
        <f t="shared" si="10"/>
        <v/>
      </c>
      <c r="DO15" s="373" t="str">
        <f t="shared" si="10"/>
        <v/>
      </c>
      <c r="DP15" s="373" t="str">
        <f t="shared" si="10"/>
        <v/>
      </c>
      <c r="DQ15" s="373" t="str">
        <f t="shared" si="10"/>
        <v/>
      </c>
      <c r="DR15" s="373" t="str">
        <f t="shared" si="10"/>
        <v/>
      </c>
      <c r="DS15" s="373" t="str">
        <f t="shared" si="10"/>
        <v/>
      </c>
      <c r="DT15" s="373" t="str">
        <f t="shared" si="10"/>
        <v/>
      </c>
      <c r="DU15" s="373" t="str">
        <f t="shared" si="10"/>
        <v/>
      </c>
      <c r="DV15" s="373" t="str">
        <f t="shared" si="10"/>
        <v/>
      </c>
      <c r="DW15" s="373" t="str">
        <f t="shared" si="10"/>
        <v/>
      </c>
      <c r="DX15" s="373" t="str">
        <f t="shared" si="10"/>
        <v/>
      </c>
      <c r="DY15" s="373" t="str">
        <f t="shared" si="10"/>
        <v/>
      </c>
      <c r="DZ15" s="373" t="str">
        <f t="shared" si="10"/>
        <v/>
      </c>
      <c r="EA15" s="373" t="str">
        <f t="shared" si="10"/>
        <v/>
      </c>
      <c r="EB15" s="373" t="str">
        <f t="shared" si="10"/>
        <v/>
      </c>
      <c r="EC15" s="373" t="str">
        <f t="shared" si="10"/>
        <v/>
      </c>
      <c r="ED15" s="373" t="str">
        <f t="shared" si="10"/>
        <v/>
      </c>
      <c r="EE15" s="373" t="str">
        <f t="shared" si="10"/>
        <v/>
      </c>
      <c r="EF15" s="373" t="str">
        <f t="shared" si="10"/>
        <v/>
      </c>
      <c r="EG15" s="373" t="str">
        <f t="shared" ref="EG15:GR15" si="11">IF(EG10=EB15,"#","")</f>
        <v/>
      </c>
      <c r="EH15" s="373" t="str">
        <f t="shared" si="11"/>
        <v/>
      </c>
      <c r="EI15" s="373" t="str">
        <f t="shared" si="11"/>
        <v/>
      </c>
      <c r="EJ15" s="373" t="str">
        <f t="shared" si="11"/>
        <v/>
      </c>
      <c r="EK15" s="373" t="str">
        <f t="shared" si="11"/>
        <v/>
      </c>
      <c r="EL15" s="373" t="str">
        <f t="shared" si="11"/>
        <v/>
      </c>
      <c r="EM15" s="373" t="str">
        <f t="shared" si="11"/>
        <v/>
      </c>
      <c r="EN15" s="373" t="str">
        <f t="shared" si="11"/>
        <v/>
      </c>
      <c r="EO15" s="373" t="str">
        <f t="shared" si="11"/>
        <v/>
      </c>
      <c r="EP15" s="373" t="str">
        <f t="shared" si="11"/>
        <v/>
      </c>
      <c r="EQ15" s="373" t="str">
        <f t="shared" si="11"/>
        <v/>
      </c>
      <c r="ER15" s="373" t="str">
        <f t="shared" si="11"/>
        <v/>
      </c>
      <c r="ES15" s="373" t="str">
        <f t="shared" si="11"/>
        <v/>
      </c>
      <c r="ET15" s="373" t="str">
        <f t="shared" si="11"/>
        <v/>
      </c>
      <c r="EU15" s="373" t="str">
        <f t="shared" si="11"/>
        <v/>
      </c>
      <c r="EV15" s="373" t="str">
        <f t="shared" si="11"/>
        <v/>
      </c>
      <c r="EW15" s="373" t="str">
        <f t="shared" si="11"/>
        <v/>
      </c>
      <c r="EX15" s="373" t="str">
        <f t="shared" si="11"/>
        <v/>
      </c>
      <c r="EY15" s="373" t="str">
        <f t="shared" si="11"/>
        <v/>
      </c>
      <c r="EZ15" s="373" t="str">
        <f t="shared" si="11"/>
        <v/>
      </c>
      <c r="FA15" s="373" t="str">
        <f t="shared" si="11"/>
        <v/>
      </c>
      <c r="FB15" s="373" t="str">
        <f t="shared" si="11"/>
        <v/>
      </c>
      <c r="FC15" s="373" t="str">
        <f t="shared" si="11"/>
        <v/>
      </c>
      <c r="FD15" s="373" t="str">
        <f t="shared" si="11"/>
        <v/>
      </c>
      <c r="FE15" s="373" t="str">
        <f t="shared" si="11"/>
        <v/>
      </c>
      <c r="FF15" s="373" t="str">
        <f t="shared" si="11"/>
        <v/>
      </c>
      <c r="FG15" s="373" t="str">
        <f t="shared" si="11"/>
        <v/>
      </c>
      <c r="FH15" s="373" t="str">
        <f t="shared" si="11"/>
        <v/>
      </c>
      <c r="FI15" s="373" t="str">
        <f t="shared" si="11"/>
        <v/>
      </c>
      <c r="FJ15" s="373" t="str">
        <f t="shared" si="11"/>
        <v/>
      </c>
      <c r="FK15" s="373" t="str">
        <f t="shared" si="11"/>
        <v/>
      </c>
      <c r="FL15" s="373" t="str">
        <f t="shared" si="11"/>
        <v/>
      </c>
      <c r="FM15" s="373" t="str">
        <f t="shared" si="11"/>
        <v/>
      </c>
      <c r="FN15" s="373" t="str">
        <f t="shared" si="11"/>
        <v/>
      </c>
      <c r="FO15" s="373" t="str">
        <f t="shared" si="11"/>
        <v/>
      </c>
      <c r="FP15" s="373" t="str">
        <f t="shared" si="11"/>
        <v/>
      </c>
      <c r="FQ15" s="373" t="str">
        <f t="shared" si="11"/>
        <v/>
      </c>
      <c r="FR15" s="373" t="str">
        <f t="shared" si="11"/>
        <v/>
      </c>
      <c r="FS15" s="373" t="str">
        <f t="shared" si="11"/>
        <v/>
      </c>
      <c r="FT15" s="373" t="str">
        <f t="shared" si="11"/>
        <v/>
      </c>
      <c r="FU15" s="373" t="str">
        <f t="shared" si="11"/>
        <v/>
      </c>
      <c r="FV15" s="373" t="str">
        <f t="shared" si="11"/>
        <v/>
      </c>
      <c r="FW15" s="373" t="str">
        <f t="shared" si="11"/>
        <v/>
      </c>
      <c r="FX15" s="373" t="str">
        <f t="shared" si="11"/>
        <v/>
      </c>
      <c r="FY15" s="373" t="str">
        <f t="shared" si="11"/>
        <v/>
      </c>
      <c r="FZ15" s="373" t="str">
        <f t="shared" si="11"/>
        <v/>
      </c>
      <c r="GA15" s="373" t="str">
        <f t="shared" si="11"/>
        <v/>
      </c>
      <c r="GB15" s="373" t="str">
        <f t="shared" si="11"/>
        <v/>
      </c>
      <c r="GC15" s="373" t="str">
        <f t="shared" si="11"/>
        <v/>
      </c>
      <c r="GD15" s="373" t="str">
        <f t="shared" si="11"/>
        <v/>
      </c>
      <c r="GE15" s="373" t="str">
        <f t="shared" si="11"/>
        <v/>
      </c>
      <c r="GF15" s="373" t="str">
        <f t="shared" si="11"/>
        <v/>
      </c>
      <c r="GG15" s="373" t="str">
        <f t="shared" si="11"/>
        <v/>
      </c>
      <c r="GH15" s="373" t="str">
        <f t="shared" si="11"/>
        <v/>
      </c>
      <c r="GI15" s="373" t="str">
        <f t="shared" si="11"/>
        <v/>
      </c>
      <c r="GJ15" s="373" t="str">
        <f t="shared" si="11"/>
        <v/>
      </c>
      <c r="GK15" s="373" t="str">
        <f t="shared" si="11"/>
        <v/>
      </c>
      <c r="GL15" s="373" t="str">
        <f t="shared" si="11"/>
        <v/>
      </c>
      <c r="GM15" s="373" t="str">
        <f t="shared" si="11"/>
        <v/>
      </c>
      <c r="GN15" s="373" t="str">
        <f t="shared" si="11"/>
        <v/>
      </c>
      <c r="GO15" s="373" t="str">
        <f t="shared" si="11"/>
        <v/>
      </c>
      <c r="GP15" s="373" t="str">
        <f t="shared" si="11"/>
        <v/>
      </c>
      <c r="GQ15" s="373" t="str">
        <f t="shared" si="11"/>
        <v/>
      </c>
      <c r="GR15" s="373" t="str">
        <f t="shared" si="11"/>
        <v/>
      </c>
      <c r="GS15" s="373" t="str">
        <f t="shared" ref="GS15:JD15" si="12">IF(GS10=GN15,"#","")</f>
        <v/>
      </c>
      <c r="GT15" s="373" t="str">
        <f t="shared" si="12"/>
        <v/>
      </c>
      <c r="GU15" s="373" t="str">
        <f t="shared" si="12"/>
        <v/>
      </c>
      <c r="GV15" s="373" t="str">
        <f t="shared" si="12"/>
        <v/>
      </c>
      <c r="GW15" s="373" t="str">
        <f t="shared" si="12"/>
        <v/>
      </c>
      <c r="GX15" s="373" t="str">
        <f t="shared" si="12"/>
        <v/>
      </c>
      <c r="GY15" s="373" t="str">
        <f t="shared" si="12"/>
        <v/>
      </c>
      <c r="GZ15" s="373" t="str">
        <f t="shared" si="12"/>
        <v/>
      </c>
      <c r="HA15" s="373" t="str">
        <f t="shared" si="12"/>
        <v/>
      </c>
      <c r="HB15" s="373" t="str">
        <f t="shared" si="12"/>
        <v/>
      </c>
      <c r="HC15" s="373" t="str">
        <f t="shared" si="12"/>
        <v/>
      </c>
      <c r="HD15" s="373" t="str">
        <f t="shared" si="12"/>
        <v/>
      </c>
      <c r="HE15" s="373" t="str">
        <f t="shared" si="12"/>
        <v/>
      </c>
      <c r="HF15" s="373" t="str">
        <f t="shared" si="12"/>
        <v/>
      </c>
      <c r="HG15" s="373" t="str">
        <f t="shared" si="12"/>
        <v/>
      </c>
      <c r="HH15" s="373" t="str">
        <f t="shared" si="12"/>
        <v/>
      </c>
      <c r="HI15" s="373" t="str">
        <f t="shared" si="12"/>
        <v/>
      </c>
      <c r="HJ15" s="373" t="str">
        <f t="shared" si="12"/>
        <v/>
      </c>
      <c r="HK15" s="373" t="str">
        <f t="shared" si="12"/>
        <v/>
      </c>
      <c r="HL15" s="373" t="str">
        <f t="shared" si="12"/>
        <v/>
      </c>
      <c r="HM15" s="373" t="str">
        <f t="shared" si="12"/>
        <v/>
      </c>
      <c r="HN15" s="373" t="str">
        <f t="shared" si="12"/>
        <v/>
      </c>
      <c r="HO15" s="373" t="str">
        <f t="shared" si="12"/>
        <v/>
      </c>
      <c r="HP15" s="373" t="str">
        <f t="shared" si="12"/>
        <v/>
      </c>
      <c r="HQ15" s="373" t="str">
        <f t="shared" si="12"/>
        <v/>
      </c>
      <c r="HR15" s="373" t="str">
        <f t="shared" si="12"/>
        <v/>
      </c>
      <c r="HS15" s="373" t="str">
        <f t="shared" si="12"/>
        <v/>
      </c>
      <c r="HT15" s="373" t="str">
        <f t="shared" si="12"/>
        <v/>
      </c>
      <c r="HU15" s="373" t="str">
        <f t="shared" si="12"/>
        <v/>
      </c>
      <c r="HV15" s="373" t="str">
        <f t="shared" si="12"/>
        <v/>
      </c>
      <c r="HW15" s="373" t="str">
        <f t="shared" si="12"/>
        <v/>
      </c>
      <c r="HX15" s="373" t="str">
        <f t="shared" si="12"/>
        <v/>
      </c>
      <c r="HY15" s="373" t="str">
        <f t="shared" si="12"/>
        <v/>
      </c>
      <c r="HZ15" s="373" t="str">
        <f t="shared" si="12"/>
        <v/>
      </c>
      <c r="IA15" s="373" t="str">
        <f t="shared" si="12"/>
        <v/>
      </c>
      <c r="IB15" s="373" t="str">
        <f t="shared" si="12"/>
        <v/>
      </c>
      <c r="IC15" s="373" t="str">
        <f t="shared" si="12"/>
        <v/>
      </c>
      <c r="ID15" s="373" t="str">
        <f t="shared" si="12"/>
        <v/>
      </c>
      <c r="IE15" s="373" t="str">
        <f t="shared" si="12"/>
        <v/>
      </c>
      <c r="IF15" s="373" t="str">
        <f t="shared" si="12"/>
        <v/>
      </c>
      <c r="IG15" s="373" t="str">
        <f t="shared" si="12"/>
        <v/>
      </c>
      <c r="IH15" s="373" t="str">
        <f t="shared" si="12"/>
        <v/>
      </c>
      <c r="II15" s="373" t="str">
        <f t="shared" si="12"/>
        <v/>
      </c>
      <c r="IJ15" s="373" t="str">
        <f t="shared" si="12"/>
        <v/>
      </c>
      <c r="IK15" s="373" t="str">
        <f t="shared" si="12"/>
        <v/>
      </c>
      <c r="IL15" s="373" t="str">
        <f t="shared" si="12"/>
        <v/>
      </c>
      <c r="IM15" s="373" t="str">
        <f t="shared" si="12"/>
        <v/>
      </c>
      <c r="IN15" s="373" t="str">
        <f t="shared" si="12"/>
        <v/>
      </c>
      <c r="IO15" s="373" t="str">
        <f t="shared" si="12"/>
        <v/>
      </c>
      <c r="IP15" s="373" t="str">
        <f t="shared" si="12"/>
        <v/>
      </c>
      <c r="IQ15" s="373" t="str">
        <f t="shared" si="12"/>
        <v/>
      </c>
      <c r="IR15" s="373" t="str">
        <f t="shared" si="12"/>
        <v/>
      </c>
      <c r="IS15" s="373" t="str">
        <f t="shared" si="12"/>
        <v/>
      </c>
      <c r="IT15" s="373" t="str">
        <f t="shared" si="12"/>
        <v/>
      </c>
      <c r="IU15" s="373" t="str">
        <f t="shared" si="12"/>
        <v/>
      </c>
      <c r="IV15" s="373" t="str">
        <f t="shared" si="12"/>
        <v/>
      </c>
      <c r="IW15" s="373" t="str">
        <f t="shared" si="12"/>
        <v/>
      </c>
      <c r="IX15" s="373" t="str">
        <f t="shared" si="12"/>
        <v/>
      </c>
      <c r="IY15" s="373" t="str">
        <f t="shared" si="12"/>
        <v/>
      </c>
      <c r="IZ15" s="373" t="str">
        <f t="shared" si="12"/>
        <v/>
      </c>
      <c r="JA15" s="373" t="str">
        <f t="shared" si="12"/>
        <v/>
      </c>
      <c r="JB15" s="373" t="str">
        <f t="shared" si="12"/>
        <v/>
      </c>
      <c r="JC15" s="373" t="str">
        <f t="shared" si="12"/>
        <v/>
      </c>
      <c r="JD15" s="373" t="str">
        <f t="shared" si="12"/>
        <v/>
      </c>
      <c r="JE15" s="373" t="str">
        <f t="shared" ref="JE15:LP15" si="13">IF(JE10=IZ15,"#","")</f>
        <v/>
      </c>
      <c r="JF15" s="373" t="str">
        <f t="shared" si="13"/>
        <v/>
      </c>
      <c r="JG15" s="373" t="str">
        <f t="shared" si="13"/>
        <v/>
      </c>
      <c r="JH15" s="373" t="str">
        <f t="shared" si="13"/>
        <v/>
      </c>
      <c r="JI15" s="373" t="str">
        <f t="shared" si="13"/>
        <v/>
      </c>
      <c r="JJ15" s="373" t="str">
        <f t="shared" si="13"/>
        <v/>
      </c>
      <c r="JK15" s="373" t="str">
        <f t="shared" si="13"/>
        <v/>
      </c>
      <c r="JL15" s="373" t="str">
        <f t="shared" si="13"/>
        <v/>
      </c>
      <c r="JM15" s="373" t="str">
        <f t="shared" si="13"/>
        <v/>
      </c>
      <c r="JN15" s="373" t="str">
        <f t="shared" si="13"/>
        <v/>
      </c>
      <c r="JO15" s="373" t="str">
        <f t="shared" si="13"/>
        <v/>
      </c>
      <c r="JP15" s="373" t="str">
        <f t="shared" si="13"/>
        <v/>
      </c>
      <c r="JQ15" s="373" t="str">
        <f t="shared" si="13"/>
        <v/>
      </c>
      <c r="JR15" s="373" t="str">
        <f t="shared" si="13"/>
        <v/>
      </c>
      <c r="JS15" s="373" t="str">
        <f t="shared" si="13"/>
        <v/>
      </c>
      <c r="JT15" s="373" t="str">
        <f t="shared" si="13"/>
        <v/>
      </c>
      <c r="JU15" s="373" t="str">
        <f t="shared" si="13"/>
        <v/>
      </c>
      <c r="JV15" s="373" t="str">
        <f t="shared" si="13"/>
        <v/>
      </c>
      <c r="JW15" s="373" t="str">
        <f t="shared" si="13"/>
        <v/>
      </c>
      <c r="JX15" s="373" t="str">
        <f t="shared" si="13"/>
        <v/>
      </c>
      <c r="JY15" s="373" t="str">
        <f t="shared" si="13"/>
        <v/>
      </c>
      <c r="JZ15" s="373" t="str">
        <f t="shared" si="13"/>
        <v/>
      </c>
      <c r="KA15" s="373" t="str">
        <f t="shared" si="13"/>
        <v/>
      </c>
      <c r="KB15" s="373" t="str">
        <f t="shared" si="13"/>
        <v/>
      </c>
      <c r="KC15" s="373" t="str">
        <f t="shared" si="13"/>
        <v/>
      </c>
      <c r="KD15" s="373" t="str">
        <f t="shared" si="13"/>
        <v/>
      </c>
      <c r="KE15" s="373" t="str">
        <f t="shared" si="13"/>
        <v/>
      </c>
      <c r="KF15" s="373" t="str">
        <f t="shared" si="13"/>
        <v/>
      </c>
      <c r="KG15" s="373" t="str">
        <f t="shared" si="13"/>
        <v/>
      </c>
      <c r="KH15" s="373" t="str">
        <f t="shared" si="13"/>
        <v/>
      </c>
      <c r="KI15" s="373" t="str">
        <f t="shared" si="13"/>
        <v/>
      </c>
      <c r="KJ15" s="373" t="str">
        <f t="shared" si="13"/>
        <v/>
      </c>
      <c r="KK15" s="373" t="str">
        <f t="shared" si="13"/>
        <v/>
      </c>
      <c r="KL15" s="373" t="str">
        <f t="shared" si="13"/>
        <v/>
      </c>
      <c r="KM15" s="373" t="str">
        <f t="shared" si="13"/>
        <v/>
      </c>
      <c r="KN15" s="373" t="str">
        <f t="shared" si="13"/>
        <v/>
      </c>
      <c r="KO15" s="373" t="str">
        <f t="shared" si="13"/>
        <v/>
      </c>
      <c r="KP15" s="373" t="str">
        <f t="shared" si="13"/>
        <v/>
      </c>
      <c r="KQ15" s="373" t="str">
        <f t="shared" si="13"/>
        <v/>
      </c>
      <c r="KR15" s="373" t="str">
        <f t="shared" si="13"/>
        <v/>
      </c>
      <c r="KS15" s="373" t="str">
        <f t="shared" si="13"/>
        <v/>
      </c>
      <c r="KT15" s="373" t="str">
        <f t="shared" si="13"/>
        <v/>
      </c>
      <c r="KU15" s="373" t="str">
        <f t="shared" si="13"/>
        <v/>
      </c>
      <c r="KV15" s="373" t="str">
        <f t="shared" si="13"/>
        <v/>
      </c>
      <c r="KW15" s="373" t="str">
        <f t="shared" si="13"/>
        <v/>
      </c>
      <c r="KX15" s="373" t="str">
        <f t="shared" si="13"/>
        <v/>
      </c>
      <c r="KY15" s="373" t="str">
        <f t="shared" si="13"/>
        <v/>
      </c>
      <c r="KZ15" s="373" t="str">
        <f t="shared" si="13"/>
        <v/>
      </c>
      <c r="LA15" s="373" t="str">
        <f t="shared" si="13"/>
        <v/>
      </c>
      <c r="LB15" s="373" t="str">
        <f t="shared" si="13"/>
        <v/>
      </c>
      <c r="LC15" s="373" t="str">
        <f t="shared" si="13"/>
        <v/>
      </c>
      <c r="LD15" s="373" t="str">
        <f t="shared" si="13"/>
        <v/>
      </c>
      <c r="LE15" s="373" t="str">
        <f t="shared" si="13"/>
        <v/>
      </c>
      <c r="LF15" s="373" t="str">
        <f t="shared" si="13"/>
        <v/>
      </c>
      <c r="LG15" s="373" t="str">
        <f t="shared" si="13"/>
        <v/>
      </c>
      <c r="LH15" s="373" t="str">
        <f t="shared" si="13"/>
        <v/>
      </c>
      <c r="LI15" s="373" t="str">
        <f t="shared" si="13"/>
        <v/>
      </c>
      <c r="LJ15" s="373" t="str">
        <f t="shared" si="13"/>
        <v/>
      </c>
      <c r="LK15" s="373" t="str">
        <f t="shared" si="13"/>
        <v/>
      </c>
      <c r="LL15" s="373" t="str">
        <f t="shared" si="13"/>
        <v/>
      </c>
      <c r="LM15" s="373" t="str">
        <f t="shared" si="13"/>
        <v/>
      </c>
      <c r="LN15" s="373" t="str">
        <f t="shared" si="13"/>
        <v/>
      </c>
      <c r="LO15" s="373" t="str">
        <f t="shared" si="13"/>
        <v/>
      </c>
      <c r="LP15" s="373" t="str">
        <f t="shared" si="13"/>
        <v/>
      </c>
      <c r="LQ15" s="373" t="str">
        <f t="shared" ref="LQ15:NH15" si="14">IF(LQ10=LL15,"#","")</f>
        <v/>
      </c>
      <c r="LR15" s="373" t="str">
        <f t="shared" si="14"/>
        <v/>
      </c>
      <c r="LS15" s="373" t="str">
        <f t="shared" si="14"/>
        <v/>
      </c>
      <c r="LT15" s="373" t="str">
        <f t="shared" si="14"/>
        <v/>
      </c>
      <c r="LU15" s="373" t="str">
        <f t="shared" si="14"/>
        <v/>
      </c>
      <c r="LV15" s="373" t="str">
        <f t="shared" si="14"/>
        <v/>
      </c>
      <c r="LW15" s="373" t="str">
        <f t="shared" si="14"/>
        <v/>
      </c>
      <c r="LX15" s="373" t="str">
        <f t="shared" si="14"/>
        <v/>
      </c>
      <c r="LY15" s="373" t="str">
        <f t="shared" si="14"/>
        <v/>
      </c>
      <c r="LZ15" s="373" t="str">
        <f t="shared" si="14"/>
        <v/>
      </c>
      <c r="MA15" s="373" t="str">
        <f t="shared" si="14"/>
        <v/>
      </c>
      <c r="MB15" s="373" t="str">
        <f t="shared" si="14"/>
        <v/>
      </c>
      <c r="MC15" s="373" t="str">
        <f t="shared" si="14"/>
        <v/>
      </c>
      <c r="MD15" s="373" t="str">
        <f t="shared" si="14"/>
        <v/>
      </c>
      <c r="ME15" s="373" t="str">
        <f t="shared" si="14"/>
        <v/>
      </c>
      <c r="MF15" s="373" t="str">
        <f t="shared" si="14"/>
        <v/>
      </c>
      <c r="MG15" s="373" t="str">
        <f t="shared" si="14"/>
        <v/>
      </c>
      <c r="MH15" s="373" t="str">
        <f t="shared" si="14"/>
        <v/>
      </c>
      <c r="MI15" s="373" t="str">
        <f t="shared" si="14"/>
        <v/>
      </c>
      <c r="MJ15" s="373" t="str">
        <f t="shared" si="14"/>
        <v/>
      </c>
      <c r="MK15" s="373" t="str">
        <f t="shared" si="14"/>
        <v/>
      </c>
      <c r="ML15" s="373" t="str">
        <f t="shared" si="14"/>
        <v/>
      </c>
      <c r="MM15" s="373" t="str">
        <f t="shared" si="14"/>
        <v/>
      </c>
      <c r="MN15" s="373" t="str">
        <f t="shared" si="14"/>
        <v/>
      </c>
      <c r="MO15" s="373" t="str">
        <f t="shared" si="14"/>
        <v/>
      </c>
      <c r="MP15" s="373" t="str">
        <f t="shared" si="14"/>
        <v/>
      </c>
      <c r="MQ15" s="373" t="str">
        <f t="shared" si="14"/>
        <v/>
      </c>
      <c r="MR15" s="373" t="str">
        <f t="shared" si="14"/>
        <v/>
      </c>
      <c r="MS15" s="373" t="str">
        <f t="shared" si="14"/>
        <v/>
      </c>
      <c r="MT15" s="373" t="str">
        <f t="shared" si="14"/>
        <v/>
      </c>
      <c r="MU15" s="373" t="str">
        <f t="shared" si="14"/>
        <v/>
      </c>
      <c r="MV15" s="373" t="str">
        <f t="shared" si="14"/>
        <v/>
      </c>
      <c r="MW15" s="373" t="str">
        <f t="shared" si="14"/>
        <v/>
      </c>
      <c r="MX15" s="373" t="str">
        <f t="shared" si="14"/>
        <v/>
      </c>
      <c r="MY15" s="373" t="str">
        <f t="shared" si="14"/>
        <v/>
      </c>
      <c r="MZ15" s="373" t="str">
        <f t="shared" si="14"/>
        <v/>
      </c>
      <c r="NA15" s="373" t="str">
        <f t="shared" si="14"/>
        <v/>
      </c>
      <c r="NB15" s="373" t="str">
        <f t="shared" si="14"/>
        <v/>
      </c>
      <c r="NC15" s="373" t="str">
        <f t="shared" si="14"/>
        <v/>
      </c>
      <c r="ND15" s="373" t="str">
        <f t="shared" si="14"/>
        <v/>
      </c>
      <c r="NE15" s="373" t="str">
        <f t="shared" si="14"/>
        <v/>
      </c>
      <c r="NF15" s="373" t="str">
        <f t="shared" si="14"/>
        <v/>
      </c>
      <c r="NG15" s="373" t="str">
        <f t="shared" si="14"/>
        <v/>
      </c>
      <c r="NH15" s="373" t="str">
        <f t="shared" si="14"/>
        <v/>
      </c>
      <c r="NI15" s="373"/>
      <c r="NJ15" s="373"/>
      <c r="NK15" s="373"/>
      <c r="NL15" s="373"/>
      <c r="NM15" s="373"/>
      <c r="NN15" s="373"/>
      <c r="NO15" s="373"/>
      <c r="NP15" s="373"/>
      <c r="NQ15" s="373"/>
      <c r="NR15" s="373"/>
      <c r="NS15" s="373"/>
      <c r="NT15" s="373"/>
      <c r="NU15" s="373"/>
      <c r="NV15" s="373"/>
      <c r="NW15" s="373"/>
      <c r="NX15" s="373"/>
      <c r="NY15" s="373"/>
      <c r="NZ15" s="373"/>
      <c r="OA15" s="373"/>
      <c r="OB15" s="373"/>
      <c r="OC15" s="373"/>
      <c r="OD15" s="373"/>
      <c r="OE15" s="373"/>
      <c r="OF15" s="373"/>
      <c r="OG15" s="373"/>
      <c r="OH15" s="373"/>
      <c r="OI15" s="373"/>
      <c r="OJ15" s="373"/>
      <c r="OK15" s="373"/>
      <c r="OL15" s="373"/>
      <c r="OM15" s="373"/>
    </row>
    <row r="16" spans="1:403" ht="25" customHeight="1" x14ac:dyDescent="0.35">
      <c r="A16" s="370"/>
      <c r="B16" s="355"/>
      <c r="C16" s="356">
        <f>E14</f>
        <v>45754</v>
      </c>
      <c r="D16" s="338">
        <f>E16-C16</f>
        <v>108</v>
      </c>
      <c r="E16" s="356">
        <f>C17</f>
        <v>45862</v>
      </c>
      <c r="F16" s="466" t="s">
        <v>305</v>
      </c>
      <c r="G16" s="339" t="s">
        <v>36</v>
      </c>
      <c r="H16" s="233"/>
      <c r="I16" s="233"/>
      <c r="J16" s="233"/>
      <c r="K16" s="233"/>
      <c r="L16" s="233"/>
      <c r="M16" s="233"/>
      <c r="N16" s="233"/>
      <c r="O16" s="233"/>
      <c r="P16" s="233"/>
      <c r="Q16" s="233"/>
      <c r="R16" s="233"/>
      <c r="S16" s="233"/>
      <c r="T16" s="233"/>
      <c r="U16" s="233"/>
      <c r="V16" s="233"/>
      <c r="W16" s="233"/>
      <c r="X16" s="233"/>
      <c r="Y16" s="233"/>
      <c r="Z16" s="233"/>
      <c r="AA16" s="233"/>
      <c r="AB16" s="233"/>
      <c r="AC16" s="233"/>
      <c r="AD16" s="233"/>
      <c r="AE16" s="233"/>
      <c r="AF16" s="233"/>
      <c r="AG16" s="233"/>
      <c r="AH16" s="233"/>
      <c r="AI16" s="233"/>
      <c r="AJ16" s="233"/>
      <c r="AK16" s="233"/>
      <c r="AL16" s="233"/>
      <c r="AM16" s="233"/>
      <c r="AN16" s="233"/>
      <c r="AO16" s="233"/>
      <c r="AP16" s="233"/>
      <c r="AQ16" s="233"/>
      <c r="AR16" s="233"/>
      <c r="AS16" s="233"/>
      <c r="AT16" s="233"/>
      <c r="AU16" s="233"/>
      <c r="AV16" s="233"/>
      <c r="AW16" s="233"/>
      <c r="AX16" s="233"/>
      <c r="AY16" s="233"/>
      <c r="AZ16" s="233"/>
      <c r="BA16" s="233"/>
      <c r="BB16" s="233"/>
      <c r="BC16" s="233"/>
      <c r="BD16" s="233"/>
      <c r="BE16" s="233"/>
      <c r="BF16" s="233"/>
      <c r="BG16" s="233"/>
      <c r="BH16" s="334"/>
      <c r="BI16" s="357"/>
      <c r="BJ16" s="336"/>
      <c r="BK16" s="336"/>
      <c r="BL16" s="336"/>
      <c r="BM16" s="336"/>
      <c r="BN16" s="336"/>
      <c r="BO16" s="336"/>
      <c r="BP16" s="336"/>
      <c r="BQ16" s="336"/>
      <c r="BR16" s="336"/>
      <c r="BS16" s="336"/>
      <c r="BT16" s="336"/>
      <c r="BU16" s="336"/>
      <c r="BV16" s="336"/>
      <c r="BW16" s="336"/>
      <c r="BX16" s="336"/>
      <c r="BY16" s="336"/>
      <c r="BZ16" s="336"/>
      <c r="CA16" s="336"/>
      <c r="CB16" s="336"/>
      <c r="CC16" s="336"/>
      <c r="CD16" s="336"/>
      <c r="CE16" s="336"/>
      <c r="CF16" s="336"/>
      <c r="CG16" s="336"/>
      <c r="CH16" s="336"/>
      <c r="CI16" s="336"/>
      <c r="CJ16" s="336"/>
      <c r="CK16" s="336"/>
      <c r="CL16" s="336"/>
      <c r="CM16" s="336"/>
      <c r="CN16" s="336"/>
      <c r="CO16" s="336"/>
      <c r="CP16" s="336"/>
      <c r="CQ16" s="336"/>
      <c r="CR16" s="336"/>
      <c r="CS16" s="336"/>
      <c r="CT16" s="336"/>
      <c r="CU16" s="336"/>
      <c r="CV16" s="336"/>
      <c r="CW16" s="336"/>
      <c r="CX16" s="336"/>
      <c r="CY16" s="336"/>
      <c r="CZ16" s="336"/>
      <c r="DA16" s="336"/>
      <c r="DB16" s="336"/>
      <c r="DC16" s="336"/>
      <c r="DD16" s="336"/>
      <c r="DE16" s="336"/>
      <c r="DF16" s="336"/>
      <c r="DG16" s="336"/>
      <c r="DH16" s="336"/>
      <c r="DI16" s="358"/>
      <c r="DJ16" s="8"/>
      <c r="NI16" s="430"/>
      <c r="NJ16" s="7"/>
      <c r="NK16" s="7"/>
      <c r="NL16" s="7"/>
      <c r="NM16" s="7"/>
      <c r="NN16" s="7"/>
      <c r="NO16" s="7"/>
      <c r="NP16" s="7"/>
      <c r="NQ16" s="7"/>
      <c r="NR16" s="7"/>
      <c r="NS16" s="7"/>
      <c r="NT16" s="7"/>
      <c r="NU16" s="7"/>
      <c r="NV16" s="7"/>
      <c r="NW16" s="7"/>
    </row>
    <row r="17" spans="1:387" ht="25" customHeight="1" x14ac:dyDescent="0.35">
      <c r="A17" s="370"/>
      <c r="B17" s="355" t="s">
        <v>302</v>
      </c>
      <c r="C17" s="342">
        <f>E17-D17</f>
        <v>45862</v>
      </c>
      <c r="D17" s="343">
        <v>30</v>
      </c>
      <c r="E17" s="356">
        <f>C18</f>
        <v>45892</v>
      </c>
      <c r="F17" s="466"/>
      <c r="G17" s="344" t="s">
        <v>341</v>
      </c>
      <c r="H17" s="233"/>
      <c r="I17" s="233"/>
      <c r="J17" s="233"/>
      <c r="K17" s="233"/>
      <c r="L17" s="233"/>
      <c r="M17" s="233"/>
      <c r="N17" s="233"/>
      <c r="O17" s="233"/>
      <c r="P17" s="233"/>
      <c r="Q17" s="233"/>
      <c r="R17" s="233"/>
      <c r="S17" s="233"/>
      <c r="T17" s="233"/>
      <c r="U17" s="233"/>
      <c r="V17" s="233"/>
      <c r="W17" s="233"/>
      <c r="X17" s="233"/>
      <c r="Y17" s="233"/>
      <c r="Z17" s="233"/>
      <c r="AA17" s="233"/>
      <c r="AB17" s="233"/>
      <c r="AC17" s="233"/>
      <c r="AD17" s="233"/>
      <c r="AE17" s="233"/>
      <c r="AF17" s="233"/>
      <c r="AG17" s="233"/>
      <c r="AH17" s="233"/>
      <c r="AI17" s="233"/>
      <c r="AJ17" s="233"/>
      <c r="AK17" s="233"/>
      <c r="AL17" s="233"/>
      <c r="AM17" s="233"/>
      <c r="AN17" s="233"/>
      <c r="AO17" s="233"/>
      <c r="AP17" s="233"/>
      <c r="AQ17" s="233"/>
      <c r="AR17" s="233"/>
      <c r="AS17" s="233"/>
      <c r="AT17" s="233"/>
      <c r="AU17" s="233"/>
      <c r="AV17" s="233"/>
      <c r="AW17" s="233"/>
      <c r="AX17" s="233"/>
      <c r="AY17" s="233"/>
      <c r="AZ17" s="233"/>
      <c r="BA17" s="233"/>
      <c r="BB17" s="233"/>
      <c r="BC17" s="233"/>
      <c r="BD17" s="233"/>
      <c r="BE17" s="233"/>
      <c r="BF17" s="233"/>
      <c r="BG17" s="233"/>
      <c r="BH17" s="334"/>
      <c r="BI17" s="340"/>
      <c r="BJ17" s="233"/>
      <c r="BK17" s="233"/>
      <c r="BL17" s="233"/>
      <c r="BM17" s="233"/>
      <c r="BN17" s="233"/>
      <c r="BO17" s="233"/>
      <c r="BP17" s="233"/>
      <c r="BQ17" s="233"/>
      <c r="BR17" s="233"/>
      <c r="BS17" s="233"/>
      <c r="BT17" s="233"/>
      <c r="BU17" s="233"/>
      <c r="BV17" s="233"/>
      <c r="BW17" s="233"/>
      <c r="BX17" s="233"/>
      <c r="BY17" s="233"/>
      <c r="BZ17" s="233"/>
      <c r="CA17" s="233"/>
      <c r="CB17" s="233"/>
      <c r="CC17" s="233"/>
      <c r="CD17" s="233"/>
      <c r="CE17" s="233"/>
      <c r="CF17" s="233"/>
      <c r="CG17" s="233"/>
      <c r="CH17" s="233"/>
      <c r="CI17" s="233"/>
      <c r="CJ17" s="233"/>
      <c r="CK17" s="233"/>
      <c r="CL17" s="233"/>
      <c r="CM17" s="233"/>
      <c r="CN17" s="233"/>
      <c r="CO17" s="233"/>
      <c r="CP17" s="233"/>
      <c r="CQ17" s="233"/>
      <c r="CR17" s="233"/>
      <c r="CS17" s="233"/>
      <c r="CT17" s="233"/>
      <c r="CU17" s="233"/>
      <c r="CV17" s="233"/>
      <c r="CW17" s="233"/>
      <c r="CX17" s="233"/>
      <c r="CY17" s="233"/>
      <c r="CZ17" s="233"/>
      <c r="DA17" s="233"/>
      <c r="DB17" s="233"/>
      <c r="DC17" s="233"/>
      <c r="DD17" s="233"/>
      <c r="DE17" s="233"/>
      <c r="DF17" s="233"/>
      <c r="DG17" s="233"/>
      <c r="DH17" s="233"/>
      <c r="DI17" s="334"/>
      <c r="DJ17" s="8"/>
      <c r="NI17" s="430"/>
      <c r="NJ17" s="7"/>
      <c r="NK17" s="7"/>
      <c r="NL17" s="7"/>
      <c r="NM17" s="7"/>
      <c r="NN17" s="7"/>
      <c r="NO17" s="7"/>
      <c r="NP17" s="7"/>
      <c r="NQ17" s="7"/>
      <c r="NR17" s="7"/>
      <c r="NS17" s="7"/>
      <c r="NT17" s="7"/>
      <c r="NU17" s="7"/>
      <c r="NV17" s="7"/>
      <c r="NW17" s="7"/>
    </row>
    <row r="18" spans="1:387" ht="25" customHeight="1" x14ac:dyDescent="0.35">
      <c r="A18" s="369"/>
      <c r="B18" s="355"/>
      <c r="C18" s="346">
        <f>E18-D18</f>
        <v>45892</v>
      </c>
      <c r="D18" s="347">
        <v>7</v>
      </c>
      <c r="E18" s="356">
        <f>C19</f>
        <v>45899</v>
      </c>
      <c r="F18" s="466"/>
      <c r="G18" s="344" t="s">
        <v>34</v>
      </c>
      <c r="H18" s="233"/>
      <c r="I18" s="233"/>
      <c r="J18" s="233"/>
      <c r="K18" s="233"/>
      <c r="L18" s="233"/>
      <c r="M18" s="233"/>
      <c r="N18" s="233"/>
      <c r="O18" s="233"/>
      <c r="P18" s="233"/>
      <c r="Q18" s="233"/>
      <c r="R18" s="233"/>
      <c r="S18" s="233"/>
      <c r="T18" s="233"/>
      <c r="U18" s="233"/>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233"/>
      <c r="BB18" s="233"/>
      <c r="BC18" s="233"/>
      <c r="BD18" s="233"/>
      <c r="BE18" s="233"/>
      <c r="BF18" s="233"/>
      <c r="BG18" s="233"/>
      <c r="BH18" s="334"/>
      <c r="BI18" s="340"/>
      <c r="BJ18" s="233"/>
      <c r="BK18" s="233"/>
      <c r="BL18" s="233"/>
      <c r="BM18" s="233"/>
      <c r="BN18" s="233"/>
      <c r="BO18" s="233"/>
      <c r="BP18" s="233"/>
      <c r="BQ18" s="233"/>
      <c r="BR18" s="233"/>
      <c r="BS18" s="233"/>
      <c r="BT18" s="233"/>
      <c r="BU18" s="233"/>
      <c r="BV18" s="233"/>
      <c r="BW18" s="233"/>
      <c r="BX18" s="233"/>
      <c r="BY18" s="233"/>
      <c r="BZ18" s="233"/>
      <c r="CA18" s="233"/>
      <c r="CB18" s="233"/>
      <c r="CC18" s="233"/>
      <c r="CD18" s="233"/>
      <c r="CE18" s="233"/>
      <c r="CF18" s="233"/>
      <c r="CG18" s="233"/>
      <c r="CH18" s="233"/>
      <c r="CI18" s="233"/>
      <c r="CJ18" s="233"/>
      <c r="CK18" s="233"/>
      <c r="CL18" s="233"/>
      <c r="CM18" s="233"/>
      <c r="CN18" s="233"/>
      <c r="CO18" s="233"/>
      <c r="CP18" s="233"/>
      <c r="CQ18" s="233"/>
      <c r="CR18" s="233"/>
      <c r="CS18" s="233"/>
      <c r="CT18" s="233"/>
      <c r="CU18" s="233"/>
      <c r="CV18" s="233"/>
      <c r="CW18" s="233"/>
      <c r="CX18" s="233"/>
      <c r="CY18" s="233"/>
      <c r="CZ18" s="233"/>
      <c r="DA18" s="233"/>
      <c r="DB18" s="233"/>
      <c r="DC18" s="233"/>
      <c r="DD18" s="233"/>
      <c r="DE18" s="233"/>
      <c r="DF18" s="233"/>
      <c r="DG18" s="233"/>
      <c r="DH18" s="233"/>
      <c r="DI18" s="334"/>
      <c r="DJ18" s="8"/>
    </row>
    <row r="19" spans="1:387" ht="25" customHeight="1" x14ac:dyDescent="0.35">
      <c r="A19" s="369"/>
      <c r="B19" s="359" t="s">
        <v>303</v>
      </c>
      <c r="C19" s="349">
        <v>45899</v>
      </c>
      <c r="D19" s="350">
        <v>60</v>
      </c>
      <c r="E19" s="360">
        <f>C19+D19</f>
        <v>45959</v>
      </c>
      <c r="F19" s="467"/>
      <c r="G19" s="361" t="s">
        <v>31</v>
      </c>
      <c r="H19" s="366"/>
      <c r="I19" s="353"/>
      <c r="J19" s="353"/>
      <c r="K19" s="353"/>
      <c r="L19" s="367"/>
      <c r="M19" s="367"/>
      <c r="N19" s="367"/>
      <c r="O19" s="367"/>
      <c r="P19" s="367"/>
      <c r="Q19" s="367"/>
      <c r="R19" s="367"/>
      <c r="S19" s="367"/>
      <c r="T19" s="367"/>
      <c r="U19" s="367"/>
      <c r="V19" s="367"/>
      <c r="W19" s="367"/>
      <c r="X19" s="367"/>
      <c r="Y19" s="367"/>
      <c r="Z19" s="367"/>
      <c r="AA19" s="367"/>
      <c r="AB19" s="367"/>
      <c r="AC19" s="367"/>
      <c r="AD19" s="367"/>
      <c r="AE19" s="367"/>
      <c r="AF19" s="367"/>
      <c r="AG19" s="367"/>
      <c r="AH19" s="367"/>
      <c r="AI19" s="367"/>
      <c r="AJ19" s="367"/>
      <c r="AK19" s="367"/>
      <c r="AL19" s="367"/>
      <c r="AM19" s="367"/>
      <c r="AN19" s="367"/>
      <c r="AO19" s="367"/>
      <c r="AP19" s="367"/>
      <c r="AQ19" s="367"/>
      <c r="AR19" s="367"/>
      <c r="AS19" s="367"/>
      <c r="AT19" s="367"/>
      <c r="AU19" s="367"/>
      <c r="AV19" s="367"/>
      <c r="AW19" s="367"/>
      <c r="AX19" s="367"/>
      <c r="AY19" s="367"/>
      <c r="AZ19" s="367"/>
      <c r="BA19" s="367"/>
      <c r="BB19" s="367"/>
      <c r="BC19" s="367"/>
      <c r="BD19" s="367"/>
      <c r="BE19" s="367"/>
      <c r="BF19" s="367"/>
      <c r="BG19" s="367"/>
      <c r="BH19" s="368"/>
      <c r="BI19" s="352"/>
      <c r="BJ19" s="353"/>
      <c r="BK19" s="353"/>
      <c r="BL19" s="353"/>
      <c r="BM19" s="353"/>
      <c r="BN19" s="353"/>
      <c r="BO19" s="353"/>
      <c r="BP19" s="353"/>
      <c r="BQ19" s="353"/>
      <c r="BR19" s="353"/>
      <c r="BS19" s="353"/>
      <c r="BT19" s="353"/>
      <c r="BU19" s="353"/>
      <c r="BV19" s="353"/>
      <c r="BW19" s="353"/>
      <c r="BX19" s="353"/>
      <c r="BY19" s="353"/>
      <c r="BZ19" s="353"/>
      <c r="CA19" s="353"/>
      <c r="CB19" s="353"/>
      <c r="CC19" s="353"/>
      <c r="CD19" s="353"/>
      <c r="CE19" s="353"/>
      <c r="CF19" s="353"/>
      <c r="CG19" s="353"/>
      <c r="CH19" s="353"/>
      <c r="CI19" s="353"/>
      <c r="CJ19" s="353"/>
      <c r="CK19" s="353"/>
      <c r="CL19" s="353"/>
      <c r="CM19" s="353"/>
      <c r="CN19" s="353"/>
      <c r="CO19" s="353"/>
      <c r="CP19" s="353"/>
      <c r="CQ19" s="353"/>
      <c r="CR19" s="353"/>
      <c r="CS19" s="353"/>
      <c r="CT19" s="353"/>
      <c r="CU19" s="353"/>
      <c r="CV19" s="353"/>
      <c r="CW19" s="353"/>
      <c r="CX19" s="353"/>
      <c r="CY19" s="353"/>
      <c r="CZ19" s="353"/>
      <c r="DA19" s="353"/>
      <c r="DB19" s="353"/>
      <c r="DC19" s="353"/>
      <c r="DD19" s="353"/>
      <c r="DE19" s="353"/>
      <c r="DF19" s="353"/>
      <c r="DG19" s="353"/>
      <c r="DH19" s="353"/>
      <c r="DI19" s="354"/>
      <c r="DJ19" s="8"/>
    </row>
    <row r="20" spans="1:387" ht="25.5" customHeight="1" x14ac:dyDescent="0.35">
      <c r="A20" s="324"/>
      <c r="B20" s="46"/>
      <c r="C20" s="362">
        <f>C19</f>
        <v>45899</v>
      </c>
      <c r="D20" s="363"/>
      <c r="E20" s="356">
        <v>46022</v>
      </c>
      <c r="F20" s="356"/>
      <c r="G20" s="339" t="s">
        <v>310</v>
      </c>
      <c r="H20" s="233"/>
      <c r="I20" s="233"/>
      <c r="J20" s="233"/>
      <c r="K20" s="233"/>
      <c r="L20" s="233"/>
      <c r="M20" s="233"/>
      <c r="N20" s="233"/>
      <c r="O20" s="233"/>
      <c r="P20" s="233"/>
      <c r="Q20" s="233"/>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345"/>
      <c r="AR20" s="345"/>
      <c r="AS20" s="345"/>
      <c r="AT20" s="345"/>
      <c r="AU20" s="345"/>
      <c r="AV20" s="345"/>
      <c r="AW20" s="345"/>
      <c r="AX20" s="345"/>
      <c r="AY20" s="345"/>
      <c r="AZ20" s="345"/>
      <c r="BA20" s="345"/>
      <c r="BB20" s="345"/>
      <c r="BC20" s="345"/>
      <c r="BD20" s="345"/>
      <c r="BE20" s="345"/>
      <c r="BF20" s="345"/>
      <c r="BG20" s="345"/>
      <c r="BH20" s="345"/>
      <c r="BI20" s="233"/>
      <c r="BJ20" s="233"/>
      <c r="BK20" s="233"/>
      <c r="BL20" s="233"/>
      <c r="BM20" s="233"/>
      <c r="BN20" s="233"/>
      <c r="BO20" s="233"/>
      <c r="BP20" s="233"/>
      <c r="BQ20" s="233"/>
      <c r="BR20" s="233"/>
      <c r="BS20" s="233"/>
      <c r="BT20" s="233"/>
      <c r="BU20" s="233"/>
      <c r="BV20" s="233"/>
      <c r="BW20" s="233"/>
      <c r="BX20" s="233"/>
      <c r="BY20" s="233"/>
      <c r="BZ20" s="233"/>
      <c r="CA20" s="233"/>
      <c r="CB20" s="233"/>
      <c r="CC20" s="233"/>
      <c r="CD20" s="233"/>
      <c r="CE20" s="233"/>
      <c r="CF20" s="233"/>
      <c r="CG20" s="233"/>
      <c r="CH20" s="233"/>
      <c r="CI20" s="233"/>
      <c r="CJ20" s="233"/>
      <c r="CK20" s="233"/>
      <c r="CL20" s="233"/>
      <c r="CM20" s="233"/>
      <c r="CN20" s="233"/>
      <c r="CO20" s="233"/>
      <c r="CP20" s="233"/>
      <c r="CQ20" s="233"/>
      <c r="CR20" s="233"/>
      <c r="CS20" s="233"/>
      <c r="CT20" s="233"/>
      <c r="CU20" s="233"/>
      <c r="CV20" s="233"/>
      <c r="CW20" s="46"/>
      <c r="CX20" s="46"/>
      <c r="CY20" s="46"/>
      <c r="CZ20" s="46"/>
      <c r="DA20" s="46"/>
      <c r="DB20" s="46"/>
      <c r="DC20" s="46"/>
      <c r="DD20" s="46"/>
      <c r="DE20" s="46"/>
      <c r="DF20" s="46"/>
      <c r="DG20" s="46"/>
      <c r="DH20" s="46"/>
      <c r="DI20" s="46"/>
      <c r="DJ20" s="8"/>
    </row>
    <row r="21" spans="1:387" x14ac:dyDescent="0.35">
      <c r="A21" s="324"/>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row>
    <row r="22" spans="1:387" x14ac:dyDescent="0.35">
      <c r="A22" s="324"/>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c r="CR22" s="8"/>
      <c r="CS22" s="8"/>
      <c r="CT22" s="8"/>
      <c r="CU22" s="8"/>
      <c r="CV22" s="8"/>
      <c r="CW22" s="8"/>
      <c r="CX22" s="8"/>
      <c r="CY22" s="8"/>
      <c r="CZ22" s="8"/>
      <c r="DA22" s="8"/>
      <c r="DB22" s="8"/>
      <c r="DC22" s="8"/>
      <c r="DD22" s="8"/>
      <c r="DE22" s="8"/>
      <c r="DF22" s="8"/>
      <c r="DG22" s="8"/>
      <c r="DH22" s="8"/>
      <c r="DI22" s="8"/>
      <c r="DJ22" s="8"/>
    </row>
    <row r="23" spans="1:387" x14ac:dyDescent="0.35">
      <c r="A23" s="324"/>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row>
    <row r="24" spans="1:387" x14ac:dyDescent="0.35">
      <c r="A24" s="324"/>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row>
    <row r="25" spans="1:387" x14ac:dyDescent="0.35">
      <c r="A25" s="324"/>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row>
    <row r="26" spans="1:387" x14ac:dyDescent="0.35">
      <c r="A26" s="324"/>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row>
    <row r="27" spans="1:387" x14ac:dyDescent="0.35">
      <c r="A27" s="324"/>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row>
    <row r="28" spans="1:387" x14ac:dyDescent="0.35">
      <c r="A28" s="324"/>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row>
    <row r="29" spans="1:387" x14ac:dyDescent="0.35">
      <c r="A29" s="324"/>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row>
    <row r="30" spans="1:387" x14ac:dyDescent="0.35">
      <c r="A30" s="324"/>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row>
    <row r="31" spans="1:387" x14ac:dyDescent="0.35">
      <c r="A31" s="324"/>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row>
    <row r="32" spans="1:387" x14ac:dyDescent="0.35">
      <c r="A32" s="324"/>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row>
    <row r="33" spans="1:114" x14ac:dyDescent="0.35">
      <c r="A33" s="324"/>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row>
    <row r="34" spans="1:114" x14ac:dyDescent="0.35">
      <c r="A34" s="324"/>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row>
    <row r="35" spans="1:114" x14ac:dyDescent="0.35">
      <c r="A35" s="324"/>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row>
    <row r="36" spans="1:114" x14ac:dyDescent="0.35">
      <c r="A36" s="324"/>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row>
    <row r="37" spans="1:114" x14ac:dyDescent="0.35">
      <c r="A37" s="324"/>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row>
    <row r="38" spans="1:114" x14ac:dyDescent="0.35">
      <c r="A38" s="324"/>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row>
    <row r="39" spans="1:114" x14ac:dyDescent="0.35">
      <c r="A39" s="324"/>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row>
    <row r="40" spans="1:114" x14ac:dyDescent="0.35">
      <c r="A40" s="324"/>
      <c r="B40" s="8"/>
      <c r="C40" s="8"/>
      <c r="D40" s="8"/>
      <c r="E40" s="8"/>
      <c r="F40" s="8"/>
      <c r="G40" s="305"/>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row>
    <row r="41" spans="1:114" x14ac:dyDescent="0.35">
      <c r="A41" s="324"/>
      <c r="B41" s="8"/>
      <c r="C41" s="8"/>
      <c r="D41" s="8"/>
      <c r="E41" s="8"/>
      <c r="F41" s="8"/>
      <c r="G41" s="305"/>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row>
    <row r="42" spans="1:114" x14ac:dyDescent="0.35">
      <c r="A42" s="324"/>
      <c r="B42" s="8"/>
      <c r="C42" s="8"/>
      <c r="D42" s="8"/>
      <c r="E42" s="8"/>
      <c r="F42" s="8"/>
      <c r="G42" s="305"/>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row>
    <row r="43" spans="1:114" x14ac:dyDescent="0.35">
      <c r="A43" s="324"/>
      <c r="B43" s="8"/>
      <c r="C43" s="8"/>
      <c r="D43" s="8"/>
      <c r="E43" s="8"/>
      <c r="F43" s="8"/>
      <c r="G43" s="305"/>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row>
    <row r="44" spans="1:114" x14ac:dyDescent="0.35">
      <c r="A44" s="324"/>
      <c r="B44" s="8"/>
      <c r="C44" s="8"/>
      <c r="D44" s="8"/>
      <c r="E44" s="8"/>
      <c r="F44" s="8"/>
      <c r="G44" s="305"/>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row>
    <row r="45" spans="1:114" x14ac:dyDescent="0.35">
      <c r="A45" s="324"/>
      <c r="B45" s="8"/>
      <c r="C45" s="8"/>
      <c r="D45" s="8"/>
      <c r="E45" s="8"/>
      <c r="F45" s="8"/>
      <c r="G45" s="305"/>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row>
    <row r="46" spans="1:114" x14ac:dyDescent="0.35">
      <c r="A46" s="324"/>
      <c r="B46" s="8"/>
      <c r="C46" s="8"/>
      <c r="D46" s="8"/>
      <c r="E46" s="8"/>
      <c r="F46" s="8"/>
      <c r="G46" s="305"/>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row>
    <row r="47" spans="1:114" x14ac:dyDescent="0.35">
      <c r="A47" s="324"/>
      <c r="B47" s="8"/>
      <c r="C47" s="8"/>
      <c r="D47" s="8"/>
      <c r="E47" s="8"/>
      <c r="F47" s="8"/>
      <c r="G47" s="305"/>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row>
    <row r="48" spans="1:114" x14ac:dyDescent="0.35">
      <c r="A48" s="324"/>
      <c r="B48" s="8"/>
      <c r="C48" s="8"/>
      <c r="D48" s="8"/>
      <c r="E48" s="8"/>
      <c r="F48" s="8"/>
      <c r="G48" s="305"/>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row>
    <row r="49" spans="1:114" x14ac:dyDescent="0.35">
      <c r="A49" s="324"/>
      <c r="B49" s="8"/>
      <c r="C49" s="8"/>
      <c r="D49" s="8"/>
      <c r="E49" s="8"/>
      <c r="F49" s="8"/>
      <c r="G49" s="305"/>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row>
    <row r="50" spans="1:114" x14ac:dyDescent="0.35">
      <c r="A50" s="324"/>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row>
    <row r="51" spans="1:114" x14ac:dyDescent="0.35">
      <c r="A51" s="324"/>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row>
    <row r="52" spans="1:114" x14ac:dyDescent="0.35">
      <c r="A52" s="324"/>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row>
    <row r="53" spans="1:114" x14ac:dyDescent="0.35">
      <c r="A53" s="324"/>
      <c r="B53" s="8"/>
      <c r="C53" s="8"/>
      <c r="D53" s="8"/>
      <c r="E53" s="305"/>
      <c r="F53" s="305"/>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row>
    <row r="54" spans="1:114" x14ac:dyDescent="0.35">
      <c r="A54" s="324"/>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row>
    <row r="55" spans="1:114" x14ac:dyDescent="0.35">
      <c r="A55" s="324"/>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row>
    <row r="56" spans="1:114" x14ac:dyDescent="0.35">
      <c r="A56" s="324"/>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row>
    <row r="57" spans="1:114" x14ac:dyDescent="0.35">
      <c r="A57" s="324"/>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row>
    <row r="58" spans="1:114" x14ac:dyDescent="0.35">
      <c r="A58" s="324"/>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row>
    <row r="59" spans="1:114" x14ac:dyDescent="0.35">
      <c r="A59" s="324"/>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row>
    <row r="60" spans="1:114" x14ac:dyDescent="0.35">
      <c r="A60" s="324"/>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row>
    <row r="61" spans="1:114" x14ac:dyDescent="0.35">
      <c r="A61" s="324"/>
      <c r="B61" s="8"/>
      <c r="C61" s="8"/>
      <c r="D61" s="8"/>
      <c r="E61" s="305"/>
      <c r="F61" s="305"/>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row>
    <row r="62" spans="1:114" x14ac:dyDescent="0.35">
      <c r="A62" s="324"/>
      <c r="B62" s="8"/>
      <c r="C62" s="8"/>
      <c r="D62" s="8"/>
      <c r="E62" s="8"/>
      <c r="F62" s="8"/>
      <c r="G62" t="s">
        <v>0</v>
      </c>
      <c r="H62" s="3" t="s">
        <v>1</v>
      </c>
      <c r="I62" s="3" t="s">
        <v>2</v>
      </c>
      <c r="J62" s="3" t="s">
        <v>3</v>
      </c>
      <c r="K62" s="3" t="s">
        <v>4</v>
      </c>
      <c r="L62" s="3" t="s">
        <v>5</v>
      </c>
      <c r="M62" s="3" t="s">
        <v>6</v>
      </c>
      <c r="N62" s="3" t="s">
        <v>7</v>
      </c>
      <c r="O62" s="3" t="s">
        <v>8</v>
      </c>
      <c r="P62" s="3" t="s">
        <v>9</v>
      </c>
      <c r="Q62" s="3" t="s">
        <v>10</v>
      </c>
      <c r="R62" s="3" t="s">
        <v>11</v>
      </c>
      <c r="S62" s="3" t="s">
        <v>12</v>
      </c>
      <c r="AB62" s="410" t="s">
        <v>334</v>
      </c>
      <c r="AC62" s="411"/>
      <c r="AD62" s="411"/>
      <c r="AE62" s="411"/>
      <c r="AF62" s="411"/>
      <c r="AG62" s="411"/>
      <c r="AH62" s="411"/>
      <c r="AI62" s="411"/>
      <c r="AJ62" s="411"/>
      <c r="AK62" s="411"/>
      <c r="AL62" s="411"/>
      <c r="AM62" s="411"/>
      <c r="AN62" s="411"/>
      <c r="AO62" s="411"/>
      <c r="DJ62" s="8"/>
    </row>
    <row r="63" spans="1:114" x14ac:dyDescent="0.35">
      <c r="G63" t="s">
        <v>13</v>
      </c>
      <c r="H63" s="4" t="s">
        <v>22</v>
      </c>
      <c r="I63" s="4" t="s">
        <v>22</v>
      </c>
      <c r="J63" s="3" t="s">
        <v>23</v>
      </c>
      <c r="K63" s="3" t="s">
        <v>23</v>
      </c>
      <c r="L63" s="3" t="s">
        <v>23</v>
      </c>
      <c r="M63" s="3" t="s">
        <v>23</v>
      </c>
      <c r="N63" s="3" t="s">
        <v>23</v>
      </c>
      <c r="O63" s="5" t="s">
        <v>24</v>
      </c>
      <c r="P63" s="5" t="s">
        <v>24</v>
      </c>
      <c r="Q63" s="5" t="s">
        <v>24</v>
      </c>
      <c r="R63" s="4" t="s">
        <v>22</v>
      </c>
      <c r="S63" s="4" t="s">
        <v>22</v>
      </c>
      <c r="AA63" s="411"/>
      <c r="AB63" s="411"/>
      <c r="AC63" s="411"/>
      <c r="AD63" s="411"/>
      <c r="AE63" s="411"/>
      <c r="AF63" s="411"/>
      <c r="AG63" s="411"/>
      <c r="AH63" s="411"/>
      <c r="AI63" s="411"/>
      <c r="AJ63" s="411"/>
      <c r="AK63" s="411"/>
      <c r="AL63" s="411"/>
      <c r="AM63" s="411"/>
      <c r="AN63" s="411"/>
      <c r="AO63" s="411"/>
      <c r="DJ63" s="8"/>
    </row>
    <row r="64" spans="1:114" ht="18.5" x14ac:dyDescent="0.35">
      <c r="A64" s="372"/>
      <c r="B64" s="373" t="s">
        <v>312</v>
      </c>
      <c r="C64" s="295"/>
      <c r="D64" s="295"/>
      <c r="E64" s="295"/>
      <c r="F64" s="295"/>
      <c r="G64" t="s">
        <v>16</v>
      </c>
      <c r="H64" s="4" t="s">
        <v>22</v>
      </c>
      <c r="I64" s="4" t="s">
        <v>22</v>
      </c>
      <c r="J64" s="3" t="s">
        <v>23</v>
      </c>
      <c r="K64" s="3" t="s">
        <v>23</v>
      </c>
      <c r="L64" s="3" t="s">
        <v>23</v>
      </c>
      <c r="M64" s="3" t="s">
        <v>23</v>
      </c>
      <c r="N64" s="3" t="s">
        <v>23</v>
      </c>
      <c r="O64" s="5" t="s">
        <v>24</v>
      </c>
      <c r="P64" s="5" t="s">
        <v>24</v>
      </c>
      <c r="Q64" s="5" t="s">
        <v>24</v>
      </c>
      <c r="R64" s="4" t="s">
        <v>22</v>
      </c>
      <c r="S64" s="4" t="s">
        <v>22</v>
      </c>
      <c r="AB64" s="412" t="s">
        <v>335</v>
      </c>
      <c r="AC64" s="411"/>
      <c r="AD64" s="411"/>
      <c r="AE64" s="411"/>
      <c r="AF64" s="411"/>
      <c r="AG64" s="411"/>
      <c r="AH64" s="411"/>
      <c r="AI64" s="411"/>
      <c r="AJ64" s="411"/>
      <c r="AK64" s="411"/>
      <c r="AL64" s="411"/>
      <c r="AM64" s="411"/>
      <c r="AN64" s="411"/>
      <c r="AO64" s="411"/>
      <c r="DJ64" s="8"/>
    </row>
    <row r="65" spans="7:114" x14ac:dyDescent="0.35">
      <c r="G65" t="s">
        <v>18</v>
      </c>
      <c r="H65" s="5" t="s">
        <v>24</v>
      </c>
      <c r="I65" s="5" t="s">
        <v>24</v>
      </c>
      <c r="J65" s="3" t="s">
        <v>23</v>
      </c>
      <c r="K65" s="3" t="s">
        <v>23</v>
      </c>
      <c r="L65" s="3" t="s">
        <v>23</v>
      </c>
      <c r="M65" s="3" t="s">
        <v>23</v>
      </c>
      <c r="N65" s="3" t="s">
        <v>23</v>
      </c>
      <c r="O65" s="3" t="s">
        <v>23</v>
      </c>
      <c r="P65" s="3" t="s">
        <v>23</v>
      </c>
      <c r="Q65" s="3" t="s">
        <v>23</v>
      </c>
      <c r="R65" s="3" t="s">
        <v>23</v>
      </c>
      <c r="S65" s="5" t="s">
        <v>24</v>
      </c>
      <c r="AB65" s="412" t="s">
        <v>336</v>
      </c>
      <c r="AC65" s="411"/>
      <c r="AD65" s="411"/>
      <c r="AE65" s="411"/>
      <c r="AF65" s="411"/>
      <c r="AG65" s="411"/>
      <c r="AH65" s="411"/>
      <c r="AI65" s="411"/>
      <c r="AJ65" s="411"/>
      <c r="AK65" s="411"/>
      <c r="AL65" s="411"/>
      <c r="AM65" s="411"/>
      <c r="AN65" s="411"/>
      <c r="AO65" s="411"/>
      <c r="DJ65" s="8"/>
    </row>
    <row r="66" spans="7:114" x14ac:dyDescent="0.35">
      <c r="AB66" s="412" t="s">
        <v>337</v>
      </c>
      <c r="AC66" s="411"/>
      <c r="AD66" s="411"/>
      <c r="AE66" s="411"/>
      <c r="AF66" s="411"/>
      <c r="AG66" s="411"/>
      <c r="AH66" s="411"/>
      <c r="AI66" s="411"/>
      <c r="AJ66" s="411"/>
      <c r="AK66" s="411"/>
      <c r="AL66" s="411"/>
      <c r="AM66" s="411"/>
      <c r="AN66" s="411"/>
      <c r="AO66" s="411"/>
      <c r="DJ66" s="8"/>
    </row>
    <row r="67" spans="7:114" x14ac:dyDescent="0.35">
      <c r="G67" t="s">
        <v>0</v>
      </c>
      <c r="J67" t="s">
        <v>3</v>
      </c>
      <c r="K67" t="s">
        <v>4</v>
      </c>
      <c r="L67" t="s">
        <v>5</v>
      </c>
      <c r="M67" t="s">
        <v>6</v>
      </c>
      <c r="N67" t="s">
        <v>7</v>
      </c>
      <c r="O67" t="s">
        <v>8</v>
      </c>
      <c r="P67" t="s">
        <v>9</v>
      </c>
      <c r="Q67" t="s">
        <v>10</v>
      </c>
      <c r="R67" t="s">
        <v>11</v>
      </c>
      <c r="S67" t="s">
        <v>12</v>
      </c>
      <c r="AB67" s="412" t="s">
        <v>338</v>
      </c>
      <c r="AC67" s="411"/>
      <c r="AD67" s="411"/>
      <c r="AE67" s="411"/>
      <c r="AF67" s="411"/>
      <c r="AG67" s="411"/>
      <c r="AH67" s="411"/>
      <c r="AI67" s="411"/>
      <c r="AJ67" s="411"/>
      <c r="AK67" s="411"/>
      <c r="AL67" s="411"/>
      <c r="AM67" s="411"/>
      <c r="AN67" s="411"/>
      <c r="AO67" s="411"/>
    </row>
    <row r="68" spans="7:114" x14ac:dyDescent="0.35">
      <c r="G68" t="s">
        <v>13</v>
      </c>
      <c r="O68" t="s">
        <v>14</v>
      </c>
      <c r="Q68" t="s">
        <v>15</v>
      </c>
      <c r="AB68" s="412" t="s">
        <v>339</v>
      </c>
      <c r="AC68" s="411"/>
      <c r="AD68" s="411"/>
      <c r="AE68" s="411"/>
      <c r="AF68" s="411"/>
      <c r="AG68" s="411"/>
      <c r="AH68" s="411"/>
      <c r="AI68" s="411"/>
      <c r="AJ68" s="411"/>
      <c r="AK68" s="411"/>
      <c r="AL68" s="411"/>
      <c r="AM68" s="411"/>
      <c r="AN68" s="411"/>
      <c r="AO68" s="411"/>
    </row>
    <row r="69" spans="7:114" x14ac:dyDescent="0.35">
      <c r="G69" t="s">
        <v>16</v>
      </c>
      <c r="O69" t="s">
        <v>17</v>
      </c>
    </row>
    <row r="70" spans="7:114" x14ac:dyDescent="0.35">
      <c r="G70" t="s">
        <v>18</v>
      </c>
      <c r="H70" t="s">
        <v>19</v>
      </c>
      <c r="I70" t="s">
        <v>20</v>
      </c>
      <c r="S70" t="s">
        <v>20</v>
      </c>
    </row>
    <row r="72" spans="7:114" x14ac:dyDescent="0.35">
      <c r="H72" t="s">
        <v>21</v>
      </c>
    </row>
  </sheetData>
  <mergeCells count="18">
    <mergeCell ref="F16:F19"/>
    <mergeCell ref="H9:AL9"/>
    <mergeCell ref="AH7:BH7"/>
    <mergeCell ref="H7:AG7"/>
    <mergeCell ref="BI7:CI7"/>
    <mergeCell ref="CJ7:DI7"/>
    <mergeCell ref="F12:F15"/>
    <mergeCell ref="AM9:BN9"/>
    <mergeCell ref="BO9:CS9"/>
    <mergeCell ref="CT9:DW9"/>
    <mergeCell ref="DX9:FB9"/>
    <mergeCell ref="FC9:GF9"/>
    <mergeCell ref="MD9:NH9"/>
    <mergeCell ref="GG9:HK9"/>
    <mergeCell ref="HL9:IP9"/>
    <mergeCell ref="IQ9:JT9"/>
    <mergeCell ref="JU9:KY9"/>
    <mergeCell ref="KZ9:MC9"/>
  </mergeCells>
  <conditionalFormatting sqref="H19:BH19 H15:OM15">
    <cfRule type="expression" dxfId="14" priority="23">
      <formula>AND(H$10&lt;=$E15, H$10&gt;=$C15)</formula>
    </cfRule>
  </conditionalFormatting>
  <conditionalFormatting sqref="H13:BH14 H17:BH18">
    <cfRule type="expression" dxfId="13" priority="19">
      <formula>AND(H$10&lt;=$E13, H$10&gt;=$C13)</formula>
    </cfRule>
  </conditionalFormatting>
  <conditionalFormatting sqref="H12:ON12 H16:ON16">
    <cfRule type="expression" dxfId="12" priority="18">
      <formula>AND(H$10&lt;=$E12, H$10&gt;=$C12)</formula>
    </cfRule>
  </conditionalFormatting>
  <conditionalFormatting sqref="H11:KY11">
    <cfRule type="containsText" dxfId="11" priority="15" operator="containsText" text="R">
      <formula>NOT(ISERROR(SEARCH("R",H11)))</formula>
    </cfRule>
    <cfRule type="containsText" dxfId="10" priority="16" operator="containsText" text="OK">
      <formula>NOT(ISERROR(SEARCH("OK",H11)))</formula>
    </cfRule>
    <cfRule type="containsText" dxfId="9" priority="17" operator="containsText" text="X">
      <formula>NOT(ISERROR(SEARCH("X",H11)))</formula>
    </cfRule>
  </conditionalFormatting>
  <conditionalFormatting sqref="H20:BH20">
    <cfRule type="expression" dxfId="8" priority="12">
      <formula>AND(H$10&lt;=$E20, H$10&gt;=$C20)</formula>
    </cfRule>
  </conditionalFormatting>
  <conditionalFormatting sqref="B64">
    <cfRule type="containsText" dxfId="7" priority="8" operator="containsText" text="R">
      <formula>NOT(ISERROR(SEARCH("R",B64)))</formula>
    </cfRule>
    <cfRule type="containsText" dxfId="6" priority="9" operator="containsText" text="OK">
      <formula>NOT(ISERROR(SEARCH("OK",B64)))</formula>
    </cfRule>
    <cfRule type="containsText" dxfId="5" priority="10" operator="containsText" text="X">
      <formula>NOT(ISERROR(SEARCH("X",B64)))</formula>
    </cfRule>
  </conditionalFormatting>
  <conditionalFormatting sqref="B64">
    <cfRule type="expression" dxfId="4" priority="7">
      <formula>AND(B$10&lt;=$E64, B$10&gt;=$C64)</formula>
    </cfRule>
  </conditionalFormatting>
  <conditionalFormatting sqref="B64">
    <cfRule type="expression" dxfId="3" priority="11">
      <formula>AND(B$10&lt;=$E62, B$10&gt;=$C62)</formula>
    </cfRule>
  </conditionalFormatting>
  <conditionalFormatting sqref="KZ11:NH11">
    <cfRule type="containsText" dxfId="2" priority="1" operator="containsText" text="R">
      <formula>NOT(ISERROR(SEARCH("R",KZ11)))</formula>
    </cfRule>
    <cfRule type="containsText" dxfId="1" priority="2" operator="containsText" text="OK">
      <formula>NOT(ISERROR(SEARCH("OK",KZ11)))</formula>
    </cfRule>
    <cfRule type="containsText" dxfId="0" priority="3" operator="containsText" text="X">
      <formula>NOT(ISERROR(SEARCH("X",KZ11)))</formula>
    </cfRule>
  </conditionalFormatting>
  <dataValidations count="1">
    <dataValidation type="list" allowBlank="1" showInputMessage="1" showErrorMessage="1" sqref="G11">
      <formula1>Omr_dd</formula1>
    </dataValidation>
  </dataValidations>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05"/>
  <sheetViews>
    <sheetView topLeftCell="A4" zoomScale="90" zoomScaleNormal="90" workbookViewId="0">
      <selection activeCell="E6" sqref="E6"/>
    </sheetView>
  </sheetViews>
  <sheetFormatPr defaultRowHeight="14.5" x14ac:dyDescent="0.35"/>
  <cols>
    <col min="1" max="1" width="8.7265625" style="16" customWidth="1"/>
    <col min="2" max="2" width="9.26953125" style="16" customWidth="1"/>
    <col min="3" max="3" width="10.1796875" customWidth="1"/>
    <col min="4" max="4" width="29.453125" customWidth="1"/>
    <col min="5" max="5" width="17.453125" customWidth="1"/>
    <col min="6" max="6" width="12.36328125" style="16" customWidth="1"/>
    <col min="7" max="7" width="31" style="16" customWidth="1"/>
    <col min="8" max="8" width="20.54296875" customWidth="1"/>
    <col min="9" max="9" width="20.54296875" style="16" customWidth="1"/>
    <col min="10" max="10" width="6.54296875" customWidth="1"/>
    <col min="11" max="11" width="14.6328125" customWidth="1"/>
    <col min="12" max="13" width="19.453125" style="8" customWidth="1"/>
    <col min="14" max="14" width="22.54296875" style="8" customWidth="1"/>
    <col min="15" max="15" width="22.54296875" customWidth="1"/>
    <col min="16" max="16" width="6.453125" customWidth="1"/>
    <col min="17" max="18" width="8.7265625" customWidth="1"/>
    <col min="19" max="19" width="24.81640625" style="8" customWidth="1"/>
    <col min="20" max="43" width="8.7265625" style="8"/>
  </cols>
  <sheetData>
    <row r="1" spans="1:43" x14ac:dyDescent="0.35">
      <c r="C1" s="8"/>
      <c r="D1" s="8"/>
      <c r="E1" s="8"/>
      <c r="F1" s="8"/>
      <c r="G1" s="8"/>
      <c r="H1" s="8"/>
      <c r="I1" s="8"/>
      <c r="J1" s="8"/>
      <c r="K1" s="8"/>
      <c r="L1" s="16"/>
      <c r="M1" s="16"/>
      <c r="N1" s="437"/>
      <c r="O1" s="16"/>
      <c r="P1" s="437"/>
      <c r="Q1" s="16"/>
      <c r="R1" s="16"/>
      <c r="S1" s="16"/>
    </row>
    <row r="2" spans="1:43" ht="26.25" customHeight="1" x14ac:dyDescent="0.7">
      <c r="C2" s="8"/>
      <c r="D2" s="8"/>
      <c r="E2" s="8"/>
      <c r="F2" s="17"/>
      <c r="G2" s="17"/>
      <c r="H2" s="18"/>
      <c r="I2" s="8"/>
      <c r="J2" s="8"/>
      <c r="K2" s="8"/>
      <c r="L2" s="16"/>
      <c r="M2" s="16"/>
      <c r="N2" s="443"/>
      <c r="O2" s="16"/>
      <c r="P2" s="443"/>
      <c r="Q2" s="16"/>
      <c r="R2" s="16"/>
      <c r="S2" s="16"/>
    </row>
    <row r="3" spans="1:43" ht="237.75" customHeight="1" x14ac:dyDescent="0.45">
      <c r="C3" s="8"/>
      <c r="D3" s="472" t="s">
        <v>368</v>
      </c>
      <c r="E3" s="472"/>
      <c r="F3" s="472"/>
      <c r="G3" s="472"/>
      <c r="H3" s="472"/>
      <c r="I3" s="472"/>
      <c r="J3" s="414"/>
      <c r="K3" s="232"/>
      <c r="L3" s="444"/>
      <c r="M3" s="444"/>
      <c r="N3" s="444"/>
      <c r="O3" s="444"/>
      <c r="P3" s="443"/>
      <c r="Q3" s="16"/>
      <c r="R3" s="16"/>
      <c r="S3" s="16"/>
    </row>
    <row r="4" spans="1:43" s="175" customFormat="1" ht="49.5" customHeight="1" x14ac:dyDescent="0.35">
      <c r="A4" s="435" t="s">
        <v>365</v>
      </c>
      <c r="B4" s="435"/>
      <c r="C4" s="46"/>
      <c r="D4" s="9" t="s">
        <v>366</v>
      </c>
      <c r="E4" s="10"/>
      <c r="F4" s="10"/>
      <c r="G4" s="46"/>
      <c r="H4" s="46"/>
      <c r="I4" s="46"/>
      <c r="J4" s="234"/>
      <c r="K4" s="234"/>
      <c r="L4" s="445"/>
      <c r="M4" s="445"/>
      <c r="N4" s="445"/>
      <c r="O4" s="445"/>
      <c r="P4" s="32"/>
      <c r="Q4" s="133"/>
      <c r="R4" s="133"/>
      <c r="S4" s="133"/>
      <c r="T4" s="46"/>
      <c r="U4" s="46"/>
      <c r="V4" s="46"/>
      <c r="W4" s="46"/>
      <c r="X4" s="46"/>
      <c r="Y4" s="46"/>
      <c r="Z4" s="46"/>
      <c r="AA4" s="46"/>
      <c r="AB4" s="46"/>
      <c r="AC4" s="46"/>
      <c r="AD4" s="46"/>
      <c r="AE4" s="46"/>
      <c r="AF4" s="46"/>
      <c r="AG4" s="46"/>
      <c r="AH4" s="46"/>
      <c r="AI4" s="46"/>
      <c r="AJ4" s="46"/>
      <c r="AK4" s="46"/>
      <c r="AL4" s="46"/>
      <c r="AM4" s="46"/>
      <c r="AN4" s="46"/>
      <c r="AO4" s="46"/>
      <c r="AP4" s="46"/>
      <c r="AQ4" s="46"/>
    </row>
    <row r="5" spans="1:43" s="175" customFormat="1" ht="34" customHeight="1" x14ac:dyDescent="0.35">
      <c r="A5" s="435" t="s">
        <v>247</v>
      </c>
      <c r="B5" s="435" t="s">
        <v>248</v>
      </c>
      <c r="C5" s="46"/>
      <c r="D5" s="13" t="s">
        <v>25</v>
      </c>
      <c r="E5" s="11"/>
      <c r="F5" s="57"/>
      <c r="G5" s="13" t="s">
        <v>249</v>
      </c>
      <c r="H5" s="235"/>
      <c r="I5" s="57"/>
      <c r="J5" s="57"/>
      <c r="K5" s="57"/>
      <c r="L5" s="27"/>
      <c r="M5" s="27"/>
      <c r="N5" s="32"/>
      <c r="O5" s="32"/>
      <c r="P5" s="32"/>
      <c r="Q5" s="133"/>
      <c r="R5" s="133"/>
      <c r="S5" s="133"/>
      <c r="T5" s="46"/>
      <c r="U5" s="46"/>
      <c r="V5" s="46"/>
      <c r="W5" s="46"/>
      <c r="X5" s="46"/>
      <c r="Y5" s="46"/>
      <c r="Z5" s="46"/>
      <c r="AA5" s="46"/>
      <c r="AB5" s="46"/>
      <c r="AC5" s="46"/>
      <c r="AD5" s="46"/>
      <c r="AE5" s="46"/>
      <c r="AF5" s="46"/>
      <c r="AG5" s="46"/>
      <c r="AH5" s="46"/>
      <c r="AI5" s="46"/>
      <c r="AJ5" s="46"/>
      <c r="AK5" s="46"/>
      <c r="AL5" s="46"/>
      <c r="AM5" s="46"/>
      <c r="AN5" s="46"/>
      <c r="AO5" s="46"/>
      <c r="AP5" s="46"/>
      <c r="AQ5" s="46"/>
    </row>
    <row r="6" spans="1:43" ht="23.15" customHeight="1" thickBot="1" x14ac:dyDescent="0.4">
      <c r="A6" s="190">
        <v>0</v>
      </c>
      <c r="B6" s="190">
        <v>6</v>
      </c>
      <c r="C6" s="8"/>
      <c r="D6" s="14" t="s">
        <v>26</v>
      </c>
      <c r="E6" s="236">
        <f>(E10*L7)/10</f>
        <v>0.2068867924528302</v>
      </c>
      <c r="F6" s="47"/>
      <c r="G6" s="237" t="s">
        <v>250</v>
      </c>
      <c r="H6" s="238"/>
      <c r="I6" s="238"/>
      <c r="J6" s="26"/>
      <c r="K6" s="8"/>
      <c r="L6" s="193" t="s">
        <v>376</v>
      </c>
      <c r="M6" s="193"/>
      <c r="N6" s="16"/>
      <c r="O6" s="16"/>
      <c r="P6" s="16"/>
      <c r="Q6" s="172"/>
      <c r="R6" s="172"/>
      <c r="S6" s="172"/>
    </row>
    <row r="7" spans="1:43" ht="23.15" customHeight="1" x14ac:dyDescent="0.35">
      <c r="A7" s="190"/>
      <c r="B7" s="190"/>
      <c r="C7" s="8"/>
      <c r="D7" s="239"/>
      <c r="E7" s="239"/>
      <c r="F7" s="33"/>
      <c r="G7" s="83" t="s">
        <v>251</v>
      </c>
      <c r="H7" s="240">
        <f>E18/H13</f>
        <v>30.279946676823453</v>
      </c>
      <c r="I7" s="76"/>
      <c r="J7" s="26"/>
      <c r="K7" s="8"/>
      <c r="L7" s="193">
        <v>6.8962264150943398</v>
      </c>
      <c r="M7" s="193"/>
      <c r="N7" s="16"/>
      <c r="O7" s="16"/>
      <c r="P7" s="16"/>
      <c r="Q7" s="172"/>
      <c r="R7" s="172"/>
      <c r="S7" s="172"/>
    </row>
    <row r="8" spans="1:43" ht="23.15" customHeight="1" thickBot="1" x14ac:dyDescent="0.4">
      <c r="A8" s="190">
        <v>0</v>
      </c>
      <c r="B8" s="190">
        <v>10</v>
      </c>
      <c r="C8" s="8"/>
      <c r="D8" s="14" t="s">
        <v>252</v>
      </c>
      <c r="E8" s="241">
        <f>E10*L13</f>
        <v>0.35377358490566096</v>
      </c>
      <c r="F8" s="47"/>
      <c r="G8" s="242" t="s">
        <v>253</v>
      </c>
      <c r="H8" s="243">
        <f>E13/H7</f>
        <v>19.815094339622647</v>
      </c>
      <c r="I8" s="244"/>
      <c r="J8" s="26"/>
      <c r="K8" s="8"/>
      <c r="L8" s="193"/>
      <c r="M8" s="193"/>
      <c r="N8" s="16"/>
      <c r="O8" s="16"/>
      <c r="P8" s="16"/>
      <c r="Q8" s="172"/>
      <c r="R8" s="172"/>
      <c r="S8" s="172"/>
    </row>
    <row r="9" spans="1:43" ht="23.15" customHeight="1" x14ac:dyDescent="0.35">
      <c r="A9" s="190"/>
      <c r="B9" s="190"/>
      <c r="C9" s="8"/>
      <c r="D9" s="239"/>
      <c r="E9" s="245"/>
      <c r="F9" s="33"/>
      <c r="G9" s="33"/>
      <c r="H9" s="33"/>
      <c r="I9" s="26"/>
      <c r="J9" s="78"/>
      <c r="K9" s="8"/>
      <c r="L9" s="193"/>
      <c r="M9" s="193"/>
      <c r="N9" s="16"/>
      <c r="O9" s="16"/>
      <c r="P9" s="16"/>
      <c r="Q9" s="172"/>
      <c r="R9" s="172"/>
      <c r="S9" s="172"/>
    </row>
    <row r="10" spans="1:43" ht="34" customHeight="1" x14ac:dyDescent="0.35">
      <c r="A10" s="190">
        <v>0</v>
      </c>
      <c r="B10" s="190">
        <v>10</v>
      </c>
      <c r="C10" s="8"/>
      <c r="D10" s="376" t="s">
        <v>380</v>
      </c>
      <c r="E10" s="241">
        <v>0.3</v>
      </c>
      <c r="F10" s="47"/>
      <c r="G10" s="90" t="s">
        <v>377</v>
      </c>
      <c r="H10" s="246"/>
      <c r="I10" s="246"/>
      <c r="J10" s="78"/>
      <c r="K10" s="8"/>
      <c r="L10" s="279"/>
      <c r="M10" s="279"/>
      <c r="N10" s="16"/>
      <c r="O10" s="16"/>
      <c r="P10" s="16"/>
      <c r="Q10" s="172"/>
      <c r="R10" s="172"/>
      <c r="S10" s="172"/>
    </row>
    <row r="11" spans="1:43" ht="23.15" customHeight="1" x14ac:dyDescent="0.35">
      <c r="A11" s="190"/>
      <c r="B11" s="190"/>
      <c r="C11" s="8"/>
      <c r="D11" s="184"/>
      <c r="E11" s="184"/>
      <c r="F11" s="78"/>
      <c r="G11" s="247" t="s">
        <v>254</v>
      </c>
      <c r="H11" s="75" t="s">
        <v>255</v>
      </c>
      <c r="I11" s="76" t="s">
        <v>256</v>
      </c>
      <c r="J11" s="78"/>
      <c r="K11" s="8"/>
      <c r="L11" s="93" t="s">
        <v>114</v>
      </c>
      <c r="M11" s="172"/>
      <c r="N11" s="172"/>
      <c r="O11" s="172"/>
      <c r="P11" s="16"/>
      <c r="Q11" s="16"/>
      <c r="R11" s="16"/>
      <c r="S11" s="16"/>
    </row>
    <row r="12" spans="1:43" ht="23.15" customHeight="1" thickBot="1" x14ac:dyDescent="0.6">
      <c r="A12" s="190"/>
      <c r="B12" s="190"/>
      <c r="C12" s="8"/>
      <c r="D12" s="248" t="s">
        <v>70</v>
      </c>
      <c r="E12" s="123"/>
      <c r="F12" s="78"/>
      <c r="G12" s="249"/>
      <c r="H12" s="250" t="s">
        <v>257</v>
      </c>
      <c r="I12" s="250" t="s">
        <v>258</v>
      </c>
      <c r="J12" s="78"/>
      <c r="K12" s="8"/>
      <c r="L12" s="105" t="s">
        <v>375</v>
      </c>
      <c r="M12" s="172"/>
      <c r="N12" s="172"/>
      <c r="O12" s="172"/>
      <c r="P12" s="16"/>
      <c r="Q12" s="16"/>
      <c r="R12" s="16"/>
      <c r="S12" s="16"/>
    </row>
    <row r="13" spans="1:43" s="168" customFormat="1" ht="23.15" customHeight="1" x14ac:dyDescent="0.35">
      <c r="A13" s="190">
        <v>0</v>
      </c>
      <c r="B13" s="436">
        <v>5000</v>
      </c>
      <c r="C13" s="251"/>
      <c r="D13" s="14" t="s">
        <v>372</v>
      </c>
      <c r="E13" s="252">
        <v>600</v>
      </c>
      <c r="F13" s="47"/>
      <c r="G13" s="253" t="s">
        <v>120</v>
      </c>
      <c r="H13" s="254">
        <f>E10*L13+$E$15*10*0.46</f>
        <v>4.9537735849056617</v>
      </c>
      <c r="I13" s="255">
        <f>E18</f>
        <v>150</v>
      </c>
      <c r="J13" s="256"/>
      <c r="K13" s="251"/>
      <c r="L13" s="111">
        <v>1.17924528301887</v>
      </c>
      <c r="M13" s="172"/>
      <c r="N13" s="172"/>
      <c r="O13" s="172"/>
      <c r="S13" s="16"/>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row>
    <row r="14" spans="1:43" ht="23.15" customHeight="1" x14ac:dyDescent="0.35">
      <c r="A14" s="190"/>
      <c r="B14" s="190"/>
      <c r="C14" s="8"/>
      <c r="D14" s="257"/>
      <c r="E14" s="257"/>
      <c r="F14" s="47"/>
      <c r="G14" s="375" t="s">
        <v>370</v>
      </c>
      <c r="H14" s="254">
        <f>E10</f>
        <v>0.3</v>
      </c>
      <c r="I14" s="258">
        <f>H14*H7</f>
        <v>9.0839840030470356</v>
      </c>
      <c r="J14" s="256"/>
      <c r="K14" s="8"/>
      <c r="L14" s="111">
        <v>1</v>
      </c>
      <c r="M14" s="172"/>
      <c r="N14" s="172"/>
      <c r="O14" s="172"/>
      <c r="S14" s="32"/>
    </row>
    <row r="15" spans="1:43" ht="23.15" customHeight="1" x14ac:dyDescent="0.35">
      <c r="A15" s="190">
        <v>0</v>
      </c>
      <c r="B15" s="190">
        <v>5</v>
      </c>
      <c r="C15" s="8"/>
      <c r="D15" s="60" t="s">
        <v>259</v>
      </c>
      <c r="E15" s="252">
        <v>1</v>
      </c>
      <c r="F15" s="47"/>
      <c r="G15" s="259" t="s">
        <v>124</v>
      </c>
      <c r="H15" s="254">
        <f>E10*L15</f>
        <v>3.9622641509433953E-2</v>
      </c>
      <c r="I15" s="260">
        <f>H15*$H$7</f>
        <v>1.1997714721005517</v>
      </c>
      <c r="J15" s="78"/>
      <c r="K15" s="8"/>
      <c r="L15" s="111">
        <v>0.13207547169811318</v>
      </c>
      <c r="M15" s="172"/>
      <c r="N15" s="261"/>
      <c r="O15" s="261"/>
      <c r="S15" s="262"/>
    </row>
    <row r="16" spans="1:43" ht="23.15" customHeight="1" x14ac:dyDescent="0.35">
      <c r="A16" s="190"/>
      <c r="B16" s="190"/>
      <c r="C16" s="8"/>
      <c r="D16" s="263"/>
      <c r="E16" s="263"/>
      <c r="F16" s="264"/>
      <c r="G16" s="259" t="s">
        <v>127</v>
      </c>
      <c r="H16" s="254">
        <f>$E$10*L16</f>
        <v>2.4509433962264147E-2</v>
      </c>
      <c r="I16" s="265">
        <f>H16*$H$7</f>
        <v>0.74214435345648411</v>
      </c>
      <c r="J16" s="78"/>
      <c r="K16" s="8"/>
      <c r="L16" s="111">
        <v>8.1698113207547163E-2</v>
      </c>
      <c r="M16" s="172"/>
      <c r="N16" s="261"/>
      <c r="O16" s="261"/>
      <c r="S16" s="262"/>
    </row>
    <row r="17" spans="1:19" ht="23.15" customHeight="1" thickBot="1" x14ac:dyDescent="0.4">
      <c r="A17" s="190">
        <v>0</v>
      </c>
      <c r="B17" s="190">
        <v>160</v>
      </c>
      <c r="C17" s="8"/>
      <c r="D17" s="13" t="s">
        <v>260</v>
      </c>
      <c r="E17" s="263"/>
      <c r="F17" s="264"/>
      <c r="G17" s="266" t="s">
        <v>129</v>
      </c>
      <c r="H17" s="267">
        <f>E10*L17</f>
        <v>9.3396226415094319E-2</v>
      </c>
      <c r="I17" s="268">
        <f>H17*$H$7</f>
        <v>2.828032755665586</v>
      </c>
      <c r="J17" s="78"/>
      <c r="K17" s="78"/>
      <c r="L17" s="111">
        <v>0.31132075471698106</v>
      </c>
      <c r="M17" s="27"/>
      <c r="N17" s="27"/>
      <c r="O17" s="27"/>
      <c r="S17" s="27"/>
    </row>
    <row r="18" spans="1:19" ht="23.15" customHeight="1" x14ac:dyDescent="0.35">
      <c r="A18" s="43"/>
      <c r="B18" s="43"/>
      <c r="C18" s="8"/>
      <c r="D18" s="60" t="s">
        <v>261</v>
      </c>
      <c r="E18" s="252">
        <v>150</v>
      </c>
      <c r="F18" s="33"/>
      <c r="G18" s="475" t="s">
        <v>262</v>
      </c>
      <c r="H18" s="475"/>
      <c r="I18" s="475"/>
      <c r="J18" s="33"/>
      <c r="K18" s="33"/>
      <c r="L18" s="93"/>
      <c r="M18" s="32"/>
      <c r="N18" s="32"/>
      <c r="O18" s="32"/>
      <c r="S18" s="32"/>
    </row>
    <row r="19" spans="1:19" ht="23.15" customHeight="1" x14ac:dyDescent="0.35">
      <c r="A19" s="43"/>
      <c r="B19" s="43"/>
      <c r="C19" s="8"/>
      <c r="D19" s="269"/>
      <c r="E19" s="142"/>
      <c r="F19" s="33"/>
      <c r="G19" s="476"/>
      <c r="H19" s="476"/>
      <c r="I19" s="476"/>
      <c r="J19" s="33"/>
      <c r="K19" s="33"/>
      <c r="L19" s="133"/>
      <c r="M19" s="32"/>
      <c r="N19" s="32"/>
      <c r="O19" s="32"/>
      <c r="S19" s="32"/>
    </row>
    <row r="20" spans="1:19" ht="42" customHeight="1" x14ac:dyDescent="0.35">
      <c r="A20" s="43"/>
      <c r="B20" s="43"/>
      <c r="C20" s="8"/>
      <c r="D20" s="477"/>
      <c r="E20" s="478"/>
      <c r="F20" s="8"/>
      <c r="G20" s="479" t="s">
        <v>379</v>
      </c>
      <c r="H20" s="480"/>
      <c r="I20" s="480"/>
      <c r="J20" s="458"/>
      <c r="K20" s="33"/>
      <c r="L20" s="133"/>
      <c r="M20" s="32"/>
      <c r="N20" s="32"/>
      <c r="O20" s="32"/>
      <c r="S20" s="32"/>
    </row>
    <row r="21" spans="1:19" ht="14.15" customHeight="1" x14ac:dyDescent="0.35">
      <c r="A21" s="43"/>
      <c r="B21" s="43"/>
      <c r="C21" s="8"/>
      <c r="D21" s="477"/>
      <c r="E21" s="478"/>
      <c r="F21" s="8"/>
      <c r="G21" s="427"/>
      <c r="H21" s="428"/>
      <c r="I21" s="428"/>
      <c r="J21" s="458"/>
      <c r="K21" s="33"/>
      <c r="L21" s="133"/>
      <c r="M21" s="32"/>
      <c r="N21" s="32"/>
      <c r="O21" s="32"/>
      <c r="S21" s="32"/>
    </row>
    <row r="22" spans="1:19" ht="14.15" customHeight="1" x14ac:dyDescent="0.35">
      <c r="A22" s="43"/>
      <c r="B22" s="43"/>
      <c r="C22" s="8"/>
      <c r="D22" s="477"/>
      <c r="E22" s="478"/>
      <c r="F22" s="8"/>
      <c r="G22" s="427"/>
      <c r="H22" s="428"/>
      <c r="I22" s="428"/>
      <c r="J22" s="459">
        <v>600</v>
      </c>
      <c r="K22" s="33"/>
      <c r="L22" s="133"/>
      <c r="M22" s="32"/>
      <c r="N22" s="32"/>
      <c r="O22" s="32"/>
      <c r="S22" s="32"/>
    </row>
    <row r="23" spans="1:19" ht="14.15" customHeight="1" x14ac:dyDescent="0.35">
      <c r="A23" s="43"/>
      <c r="B23" s="43"/>
      <c r="C23" s="8"/>
      <c r="D23" s="477"/>
      <c r="E23" s="478"/>
      <c r="F23" s="8"/>
      <c r="G23" s="427"/>
      <c r="H23" s="428"/>
      <c r="I23" s="428"/>
      <c r="J23" s="459"/>
      <c r="K23" s="33"/>
      <c r="L23" s="133"/>
      <c r="M23" s="32"/>
      <c r="N23" s="32"/>
      <c r="O23" s="32"/>
      <c r="S23" s="32"/>
    </row>
    <row r="24" spans="1:19" ht="14.15" customHeight="1" x14ac:dyDescent="0.35">
      <c r="A24" s="43"/>
      <c r="B24" s="43"/>
      <c r="C24" s="8"/>
      <c r="D24" s="477"/>
      <c r="E24" s="478"/>
      <c r="F24" s="8"/>
      <c r="G24" s="427"/>
      <c r="H24" s="428"/>
      <c r="I24" s="428"/>
      <c r="J24" s="459">
        <v>25</v>
      </c>
      <c r="K24" s="33"/>
      <c r="L24" s="133"/>
      <c r="M24" s="32"/>
      <c r="N24" s="32"/>
      <c r="O24" s="32"/>
      <c r="S24" s="32"/>
    </row>
    <row r="25" spans="1:19" ht="14.15" customHeight="1" x14ac:dyDescent="0.35">
      <c r="A25" s="43"/>
      <c r="B25" s="43"/>
      <c r="C25" s="8"/>
      <c r="D25" s="477"/>
      <c r="E25" s="478"/>
      <c r="F25" s="8"/>
      <c r="G25" s="427"/>
      <c r="H25" s="428"/>
      <c r="I25" s="428"/>
      <c r="J25" s="459"/>
      <c r="K25" s="505" t="s">
        <v>381</v>
      </c>
      <c r="L25" s="133"/>
      <c r="M25" s="32"/>
      <c r="N25" s="32"/>
      <c r="O25" s="32"/>
      <c r="S25" s="32"/>
    </row>
    <row r="26" spans="1:19" ht="14.15" customHeight="1" x14ac:dyDescent="0.35">
      <c r="A26" s="43"/>
      <c r="B26" s="43"/>
      <c r="C26" s="8"/>
      <c r="D26" s="477"/>
      <c r="E26" s="478"/>
      <c r="F26" s="8"/>
      <c r="G26" s="427"/>
      <c r="H26" s="428"/>
      <c r="I26" s="428"/>
      <c r="J26" s="459">
        <v>1.5</v>
      </c>
      <c r="K26" s="505"/>
      <c r="L26" s="133"/>
      <c r="M26" s="32"/>
      <c r="N26" s="32"/>
      <c r="O26" s="32"/>
      <c r="S26" s="32"/>
    </row>
    <row r="27" spans="1:19" ht="14.15" customHeight="1" x14ac:dyDescent="0.35">
      <c r="A27" s="43"/>
      <c r="B27" s="43"/>
      <c r="C27" s="8"/>
      <c r="D27" s="477"/>
      <c r="E27" s="478"/>
      <c r="F27" s="8"/>
      <c r="G27" s="427"/>
      <c r="H27" s="428"/>
      <c r="I27" s="428"/>
      <c r="J27" s="459"/>
      <c r="K27" s="505"/>
      <c r="L27" s="133"/>
      <c r="M27" s="32"/>
      <c r="N27" s="32"/>
      <c r="O27" s="32"/>
      <c r="S27" s="32"/>
    </row>
    <row r="28" spans="1:19" ht="14.15" customHeight="1" x14ac:dyDescent="0.35">
      <c r="A28" s="43"/>
      <c r="B28" s="43"/>
      <c r="C28" s="8"/>
      <c r="D28" s="477"/>
      <c r="E28" s="478"/>
      <c r="F28" s="8"/>
      <c r="G28" s="427"/>
      <c r="H28" s="428"/>
      <c r="I28" s="428"/>
      <c r="J28" s="459">
        <v>40</v>
      </c>
      <c r="K28" s="505"/>
      <c r="L28" s="133"/>
      <c r="M28" s="32"/>
      <c r="N28" s="32"/>
      <c r="O28" s="32"/>
      <c r="S28" s="32"/>
    </row>
    <row r="29" spans="1:19" ht="14.15" customHeight="1" x14ac:dyDescent="0.35">
      <c r="A29" s="43"/>
      <c r="B29" s="43"/>
      <c r="C29" s="8"/>
      <c r="D29" s="478"/>
      <c r="E29" s="478"/>
      <c r="F29" s="8"/>
      <c r="G29" s="8"/>
      <c r="H29" s="78"/>
      <c r="I29" s="78"/>
      <c r="J29" s="459"/>
      <c r="K29" s="505"/>
      <c r="L29" s="133"/>
      <c r="M29" s="32"/>
      <c r="N29" s="32"/>
      <c r="O29" s="32"/>
      <c r="S29" s="32"/>
    </row>
    <row r="30" spans="1:19" ht="14.15" customHeight="1" x14ac:dyDescent="0.35">
      <c r="A30" s="43"/>
      <c r="B30" s="43"/>
      <c r="C30" s="8"/>
      <c r="D30" s="269"/>
      <c r="E30" s="142"/>
      <c r="F30" s="33"/>
      <c r="G30" s="270"/>
      <c r="H30" s="78"/>
      <c r="I30" s="78"/>
      <c r="J30" s="459">
        <v>300</v>
      </c>
      <c r="K30" s="33"/>
      <c r="L30" s="133"/>
      <c r="M30" s="32"/>
      <c r="N30" s="32"/>
      <c r="O30" s="32"/>
      <c r="S30" s="32"/>
    </row>
    <row r="31" spans="1:19" ht="14.15" customHeight="1" x14ac:dyDescent="0.35">
      <c r="A31" s="43"/>
      <c r="B31" s="43"/>
      <c r="C31" s="8"/>
      <c r="D31" s="269"/>
      <c r="E31" s="142"/>
      <c r="F31" s="33"/>
      <c r="G31" s="270"/>
      <c r="H31" s="78"/>
      <c r="I31" s="78"/>
      <c r="J31" s="459"/>
      <c r="K31" s="33"/>
      <c r="L31" s="133"/>
      <c r="M31" s="32"/>
      <c r="N31" s="32"/>
      <c r="O31" s="32"/>
      <c r="S31" s="32"/>
    </row>
    <row r="32" spans="1:19" ht="14.15" customHeight="1" x14ac:dyDescent="0.35">
      <c r="A32" s="43"/>
      <c r="B32" s="43"/>
      <c r="C32" s="8"/>
      <c r="D32" s="269"/>
      <c r="E32" s="142"/>
      <c r="F32" s="33"/>
      <c r="G32" s="270"/>
      <c r="H32" s="78"/>
      <c r="I32" s="78"/>
      <c r="J32" s="459">
        <v>0.75</v>
      </c>
      <c r="K32" s="33"/>
      <c r="L32" s="133"/>
      <c r="M32" s="32"/>
      <c r="N32" s="32"/>
      <c r="O32" s="32"/>
      <c r="S32" s="32"/>
    </row>
    <row r="33" spans="1:43" ht="14.15" customHeight="1" x14ac:dyDescent="0.35">
      <c r="A33" s="43"/>
      <c r="B33" s="43"/>
      <c r="C33" s="8"/>
      <c r="D33" s="269"/>
      <c r="E33" s="142"/>
      <c r="F33" s="33"/>
      <c r="G33" s="270"/>
      <c r="H33" s="78"/>
      <c r="I33" s="78"/>
      <c r="J33" s="459"/>
      <c r="K33" s="33"/>
      <c r="L33" s="133"/>
      <c r="M33" s="32"/>
      <c r="N33" s="32"/>
      <c r="O33" s="32"/>
      <c r="S33" s="32"/>
    </row>
    <row r="34" spans="1:43" ht="14.15" customHeight="1" x14ac:dyDescent="0.35">
      <c r="A34" s="43"/>
      <c r="B34" s="43"/>
      <c r="C34" s="8"/>
      <c r="D34" s="269"/>
      <c r="E34" s="142"/>
      <c r="F34" s="33"/>
      <c r="G34" s="270"/>
      <c r="H34" s="78"/>
      <c r="I34" s="78"/>
      <c r="J34" s="459">
        <v>25</v>
      </c>
      <c r="K34" s="33"/>
      <c r="L34" s="133"/>
      <c r="M34" s="32"/>
      <c r="N34" s="32"/>
      <c r="O34" s="32"/>
      <c r="S34" s="32"/>
    </row>
    <row r="35" spans="1:43" ht="14.15" customHeight="1" x14ac:dyDescent="0.35">
      <c r="A35" s="43"/>
      <c r="B35" s="43"/>
      <c r="C35" s="8"/>
      <c r="D35" s="269"/>
      <c r="E35" s="142"/>
      <c r="F35" s="33"/>
      <c r="G35" s="270"/>
      <c r="H35" s="78"/>
      <c r="I35" s="78"/>
      <c r="J35" s="33"/>
      <c r="K35" s="33"/>
      <c r="L35" s="133"/>
      <c r="M35" s="32"/>
      <c r="N35" s="32"/>
      <c r="O35" s="32"/>
      <c r="S35" s="32"/>
    </row>
    <row r="36" spans="1:43" ht="14.15" customHeight="1" x14ac:dyDescent="0.35">
      <c r="A36" s="43"/>
      <c r="B36" s="43"/>
      <c r="C36" s="8"/>
      <c r="D36" s="269"/>
      <c r="E36" s="142"/>
      <c r="F36" s="33"/>
      <c r="G36" s="270"/>
      <c r="H36" s="78"/>
      <c r="I36" s="78"/>
      <c r="J36" s="33"/>
      <c r="K36" s="33"/>
      <c r="L36" s="133"/>
      <c r="M36" s="32"/>
      <c r="N36" s="32"/>
      <c r="O36" s="133"/>
      <c r="P36" s="32"/>
      <c r="Q36" s="32"/>
      <c r="R36" s="32"/>
      <c r="S36" s="32"/>
    </row>
    <row r="37" spans="1:43" ht="14.15" customHeight="1" x14ac:dyDescent="0.35">
      <c r="A37" s="43"/>
      <c r="B37" s="43"/>
      <c r="C37" s="8"/>
      <c r="D37" s="269"/>
      <c r="E37" s="142"/>
      <c r="F37" s="33"/>
      <c r="G37" s="270"/>
      <c r="H37" s="78"/>
      <c r="I37" s="78"/>
      <c r="J37" s="33"/>
      <c r="K37" s="33"/>
      <c r="L37" s="133"/>
      <c r="M37" s="32"/>
      <c r="N37" s="32"/>
      <c r="O37" s="133"/>
      <c r="P37" s="32"/>
      <c r="Q37" s="32"/>
      <c r="R37" s="32"/>
      <c r="S37" s="32"/>
    </row>
    <row r="38" spans="1:43" ht="33.65" customHeight="1" x14ac:dyDescent="0.35">
      <c r="A38" s="43"/>
      <c r="B38" s="43"/>
      <c r="C38" s="8"/>
      <c r="D38" s="269"/>
      <c r="E38" s="142"/>
      <c r="F38" s="33"/>
      <c r="G38" s="481" t="s">
        <v>264</v>
      </c>
      <c r="H38" s="481"/>
      <c r="I38" s="481"/>
      <c r="J38" s="33"/>
      <c r="K38" s="33"/>
      <c r="L38" s="133"/>
      <c r="M38" s="32"/>
      <c r="N38" s="32"/>
      <c r="O38" s="133"/>
      <c r="P38" s="32"/>
      <c r="Q38" s="32"/>
      <c r="R38" s="32"/>
      <c r="S38" s="32"/>
    </row>
    <row r="39" spans="1:43" ht="33.65" customHeight="1" thickBot="1" x14ac:dyDescent="0.4">
      <c r="A39" s="43"/>
      <c r="B39" s="43"/>
      <c r="C39" s="8"/>
      <c r="D39" s="271"/>
      <c r="E39" s="272"/>
      <c r="F39" s="273"/>
      <c r="G39" s="274"/>
      <c r="H39" s="274"/>
      <c r="I39" s="274"/>
      <c r="J39" s="33"/>
      <c r="K39" s="33"/>
      <c r="L39" s="133"/>
      <c r="M39" s="32"/>
      <c r="N39" s="32"/>
      <c r="O39" s="32"/>
      <c r="P39" s="32"/>
      <c r="Q39" s="32"/>
      <c r="R39" s="32"/>
      <c r="S39" s="32"/>
    </row>
    <row r="40" spans="1:43" ht="21.75" customHeight="1" thickTop="1" x14ac:dyDescent="0.35">
      <c r="A40" s="43"/>
      <c r="B40" s="43"/>
      <c r="C40" s="8"/>
      <c r="D40" s="239" t="s">
        <v>364</v>
      </c>
      <c r="E40" s="275"/>
      <c r="F40" s="276"/>
      <c r="G40" s="277"/>
      <c r="H40" s="277"/>
      <c r="I40" s="277"/>
      <c r="J40" s="276"/>
      <c r="K40" s="33"/>
      <c r="L40" s="133"/>
      <c r="M40" s="32"/>
      <c r="N40" s="32"/>
      <c r="O40" s="32"/>
      <c r="P40" s="32"/>
      <c r="Q40" s="32"/>
      <c r="R40" s="32"/>
      <c r="S40" s="32"/>
    </row>
    <row r="41" spans="1:43" ht="33.65" customHeight="1" x14ac:dyDescent="0.35">
      <c r="A41" s="43"/>
      <c r="B41" s="43"/>
      <c r="C41" s="8"/>
      <c r="D41" s="269"/>
      <c r="E41" s="142"/>
      <c r="F41" s="33"/>
      <c r="G41" s="278"/>
      <c r="H41" s="278"/>
      <c r="I41" s="278"/>
      <c r="J41" s="33"/>
      <c r="K41" s="33"/>
      <c r="L41" s="133"/>
      <c r="M41" s="32"/>
      <c r="N41" s="32"/>
      <c r="O41" s="32"/>
      <c r="P41" s="32"/>
      <c r="Q41" s="32"/>
      <c r="R41" s="32"/>
      <c r="S41" s="32"/>
    </row>
    <row r="42" spans="1:43" s="175" customFormat="1" ht="20.149999999999999" customHeight="1" x14ac:dyDescent="0.35">
      <c r="A42" s="32"/>
      <c r="B42" s="43"/>
      <c r="C42" s="443"/>
      <c r="D42" s="446" t="s">
        <v>266</v>
      </c>
      <c r="E42" s="447"/>
      <c r="F42" s="447"/>
      <c r="G42" s="447"/>
      <c r="H42" s="447"/>
      <c r="I42" s="447"/>
      <c r="J42" s="448"/>
      <c r="K42" s="448"/>
      <c r="L42" s="133"/>
      <c r="M42" s="32"/>
      <c r="N42" s="32"/>
      <c r="O42" s="281"/>
      <c r="P42" s="281"/>
      <c r="Q42" s="281"/>
      <c r="R42" s="281"/>
      <c r="S42" s="282"/>
      <c r="T42" s="282"/>
      <c r="U42" s="282"/>
      <c r="V42" s="32"/>
      <c r="W42" s="32"/>
      <c r="X42" s="32"/>
      <c r="Y42" s="32"/>
      <c r="Z42" s="32"/>
      <c r="AA42" s="32"/>
      <c r="AB42" s="32"/>
      <c r="AC42" s="32"/>
      <c r="AD42" s="32"/>
      <c r="AE42" s="46"/>
      <c r="AF42" s="46"/>
      <c r="AG42" s="46"/>
      <c r="AH42" s="46"/>
      <c r="AI42" s="46"/>
      <c r="AJ42" s="46"/>
      <c r="AK42" s="46"/>
      <c r="AL42" s="46"/>
      <c r="AM42" s="46"/>
      <c r="AN42" s="46"/>
      <c r="AO42" s="46"/>
      <c r="AP42" s="46"/>
      <c r="AQ42" s="46"/>
    </row>
    <row r="43" spans="1:43" s="175" customFormat="1" ht="35.25" customHeight="1" x14ac:dyDescent="0.35">
      <c r="A43" s="32"/>
      <c r="B43" s="43"/>
      <c r="C43" s="450"/>
      <c r="D43" s="453" t="s">
        <v>267</v>
      </c>
      <c r="E43" s="473" t="s">
        <v>268</v>
      </c>
      <c r="F43" s="473"/>
      <c r="G43" s="473"/>
      <c r="H43" s="474" t="s">
        <v>269</v>
      </c>
      <c r="I43" s="474"/>
      <c r="J43" s="448"/>
      <c r="K43" s="448"/>
      <c r="L43" s="448"/>
      <c r="M43" s="281"/>
      <c r="N43" s="281"/>
      <c r="O43" s="281"/>
      <c r="P43" s="280"/>
      <c r="Q43" s="281"/>
      <c r="R43" s="281"/>
      <c r="S43" s="282"/>
      <c r="T43" s="282"/>
      <c r="U43" s="282"/>
      <c r="V43" s="32"/>
      <c r="W43" s="32"/>
      <c r="X43" s="32"/>
      <c r="Y43" s="32"/>
      <c r="Z43" s="32"/>
      <c r="AA43" s="32"/>
      <c r="AB43" s="32"/>
      <c r="AC43" s="32"/>
      <c r="AD43" s="32"/>
      <c r="AE43" s="46"/>
      <c r="AF43" s="46"/>
      <c r="AG43" s="46"/>
      <c r="AH43" s="46"/>
      <c r="AI43" s="46"/>
      <c r="AJ43" s="46"/>
      <c r="AK43" s="46"/>
      <c r="AL43" s="46"/>
      <c r="AM43" s="46"/>
      <c r="AN43" s="46"/>
      <c r="AO43" s="46"/>
      <c r="AP43" s="46"/>
      <c r="AQ43" s="46"/>
    </row>
    <row r="44" spans="1:43" s="175" customFormat="1" ht="50.15" customHeight="1" x14ac:dyDescent="0.35">
      <c r="A44" s="32"/>
      <c r="B44" s="43"/>
      <c r="C44" s="450"/>
      <c r="D44" s="454" t="s">
        <v>369</v>
      </c>
      <c r="E44" s="455" t="s">
        <v>270</v>
      </c>
      <c r="F44" s="495" t="s">
        <v>271</v>
      </c>
      <c r="G44" s="502" t="s">
        <v>157</v>
      </c>
      <c r="H44" s="495" t="s">
        <v>272</v>
      </c>
      <c r="I44" s="503" t="s">
        <v>273</v>
      </c>
      <c r="J44" s="448" t="s">
        <v>367</v>
      </c>
      <c r="K44" s="448"/>
      <c r="L44" s="448" t="s">
        <v>378</v>
      </c>
      <c r="M44" s="281"/>
      <c r="N44" s="281"/>
      <c r="O44" s="280"/>
      <c r="P44" s="281"/>
      <c r="Q44" s="281"/>
      <c r="R44" s="281"/>
      <c r="S44" s="282"/>
      <c r="T44" s="282"/>
      <c r="U44" s="282"/>
      <c r="V44" s="32"/>
      <c r="W44" s="32"/>
      <c r="X44" s="32"/>
      <c r="Y44" s="32"/>
      <c r="Z44" s="32"/>
      <c r="AA44" s="32"/>
      <c r="AB44" s="32"/>
      <c r="AC44" s="32"/>
      <c r="AD44" s="32"/>
      <c r="AE44" s="46"/>
      <c r="AF44" s="46"/>
      <c r="AG44" s="46"/>
      <c r="AH44" s="46"/>
      <c r="AI44" s="46"/>
      <c r="AJ44" s="46"/>
      <c r="AK44" s="46"/>
      <c r="AL44" s="46"/>
      <c r="AM44" s="46"/>
      <c r="AN44" s="46"/>
      <c r="AO44" s="46"/>
      <c r="AP44" s="46"/>
      <c r="AQ44" s="46"/>
    </row>
    <row r="45" spans="1:43" s="175" customFormat="1" ht="20.149999999999999" customHeight="1" x14ac:dyDescent="0.35">
      <c r="A45" s="32"/>
      <c r="B45" s="43"/>
      <c r="C45" s="450"/>
      <c r="D45" s="456" t="s">
        <v>166</v>
      </c>
      <c r="E45" s="494">
        <f>($E$10*L45)</f>
        <v>1.4716981132075469E-3</v>
      </c>
      <c r="F45" s="496">
        <f>(E45)/(($E$6*10)/1000)</f>
        <v>0.71135430916552655</v>
      </c>
      <c r="G45" s="497">
        <v>100</v>
      </c>
      <c r="H45" s="496">
        <f>E45*$H$7</f>
        <v>4.4562940392306204E-2</v>
      </c>
      <c r="I45" s="497">
        <v>25</v>
      </c>
      <c r="J45" s="449">
        <f>I45-H45</f>
        <v>24.955437059607693</v>
      </c>
      <c r="K45" s="504">
        <f>H45/I45</f>
        <v>1.7825176156922482E-3</v>
      </c>
      <c r="L45" s="491">
        <v>4.90566037735849E-3</v>
      </c>
      <c r="M45" s="281"/>
      <c r="N45" s="282"/>
      <c r="O45" s="280"/>
      <c r="P45" s="281"/>
      <c r="Q45" s="281"/>
      <c r="R45" s="283"/>
      <c r="S45" s="284"/>
      <c r="T45" s="282"/>
      <c r="V45" s="32"/>
      <c r="W45" s="32"/>
      <c r="X45" s="32"/>
      <c r="Y45" s="32"/>
      <c r="Z45" s="32"/>
      <c r="AA45" s="32"/>
      <c r="AB45" s="32"/>
      <c r="AC45" s="32"/>
      <c r="AD45" s="32"/>
      <c r="AE45" s="46"/>
      <c r="AF45" s="46"/>
      <c r="AG45" s="46"/>
      <c r="AH45" s="46"/>
      <c r="AI45" s="46"/>
      <c r="AJ45" s="46"/>
      <c r="AK45" s="46"/>
      <c r="AL45" s="46"/>
      <c r="AM45" s="46"/>
      <c r="AN45" s="46"/>
      <c r="AO45" s="46"/>
      <c r="AP45" s="46"/>
      <c r="AQ45" s="46"/>
    </row>
    <row r="46" spans="1:43" s="175" customFormat="1" ht="20.149999999999999" customHeight="1" x14ac:dyDescent="0.35">
      <c r="A46" s="32"/>
      <c r="B46" s="43"/>
      <c r="C46" s="450"/>
      <c r="D46" s="456" t="s">
        <v>167</v>
      </c>
      <c r="E46" s="493">
        <f>($E$10*L46)</f>
        <v>4.3867924528301881E-4</v>
      </c>
      <c r="F46" s="496">
        <f t="shared" ref="F46:F51" si="0">(E46)/(($E$6*10)/1000)</f>
        <v>0.21203830369357043</v>
      </c>
      <c r="G46" s="497">
        <v>2</v>
      </c>
      <c r="H46" s="496">
        <f t="shared" ref="H46:H51" si="1">E46*$H$7</f>
        <v>1.3283184155398966E-2</v>
      </c>
      <c r="I46" s="497">
        <v>0.75</v>
      </c>
      <c r="J46" s="449">
        <f>I46-H46</f>
        <v>0.73671681584460103</v>
      </c>
      <c r="K46" s="504">
        <f>H46/I46</f>
        <v>1.7710912207198622E-2</v>
      </c>
      <c r="L46" s="491">
        <v>1.462264150943396E-3</v>
      </c>
      <c r="M46" s="281"/>
      <c r="N46" s="282"/>
      <c r="O46" s="280"/>
      <c r="P46" s="281"/>
      <c r="Q46" s="281"/>
      <c r="R46" s="285"/>
      <c r="S46" s="286"/>
      <c r="T46" s="282"/>
      <c r="V46" s="32"/>
      <c r="W46" s="32"/>
      <c r="X46" s="32"/>
      <c r="Y46" s="32"/>
      <c r="Z46" s="32"/>
      <c r="AA46" s="32"/>
      <c r="AB46" s="32"/>
      <c r="AC46" s="32"/>
      <c r="AD46" s="32"/>
      <c r="AE46" s="46"/>
      <c r="AF46" s="46"/>
      <c r="AG46" s="46"/>
      <c r="AH46" s="46"/>
      <c r="AI46" s="46"/>
      <c r="AJ46" s="46"/>
      <c r="AK46" s="46"/>
      <c r="AL46" s="46"/>
      <c r="AM46" s="46"/>
      <c r="AN46" s="46"/>
      <c r="AO46" s="46"/>
      <c r="AP46" s="46"/>
      <c r="AQ46" s="46"/>
    </row>
    <row r="47" spans="1:43" s="175" customFormat="1" ht="20.149999999999999" customHeight="1" x14ac:dyDescent="0.35">
      <c r="A47" s="32"/>
      <c r="B47" s="16"/>
      <c r="C47" s="457"/>
      <c r="D47" s="456" t="s">
        <v>263</v>
      </c>
      <c r="E47" s="460">
        <f t="shared" ref="E47:E51" si="2">($E$10*L47)</f>
        <v>3.141509433962264E-2</v>
      </c>
      <c r="F47" s="498">
        <f t="shared" si="0"/>
        <v>15.184678522571819</v>
      </c>
      <c r="G47" s="497">
        <v>600</v>
      </c>
      <c r="H47" s="498">
        <f t="shared" si="1"/>
        <v>0.95124738145115184</v>
      </c>
      <c r="I47" s="497">
        <v>300</v>
      </c>
      <c r="J47" s="449">
        <f>I47-H47</f>
        <v>299.04875261854886</v>
      </c>
      <c r="K47" s="504">
        <f>H47/I47</f>
        <v>3.170824604837173E-3</v>
      </c>
      <c r="L47" s="491">
        <v>0.10471698113207546</v>
      </c>
      <c r="M47" s="281"/>
      <c r="N47" s="282"/>
      <c r="O47" s="280"/>
      <c r="P47" s="281"/>
      <c r="Q47" s="281"/>
      <c r="R47" s="285"/>
      <c r="S47" s="286"/>
      <c r="T47" s="282"/>
      <c r="V47" s="32"/>
      <c r="W47" s="32"/>
      <c r="X47" s="32"/>
      <c r="Y47" s="32"/>
      <c r="Z47" s="32"/>
      <c r="AA47" s="32"/>
      <c r="AB47" s="32"/>
      <c r="AC47" s="32"/>
      <c r="AD47" s="32"/>
      <c r="AE47" s="46"/>
      <c r="AF47" s="46"/>
      <c r="AG47" s="46"/>
      <c r="AH47" s="46"/>
      <c r="AI47" s="46"/>
      <c r="AJ47" s="46"/>
      <c r="AK47" s="46"/>
      <c r="AL47" s="46"/>
      <c r="AM47" s="46"/>
      <c r="AN47" s="46"/>
      <c r="AO47" s="46"/>
      <c r="AP47" s="46"/>
      <c r="AQ47" s="46"/>
    </row>
    <row r="48" spans="1:43" s="175" customFormat="1" ht="20.149999999999999" customHeight="1" x14ac:dyDescent="0.35">
      <c r="A48" s="32"/>
      <c r="B48" s="16"/>
      <c r="C48" s="457"/>
      <c r="D48" s="456" t="s">
        <v>168</v>
      </c>
      <c r="E48" s="494">
        <f t="shared" si="2"/>
        <v>3.9622641509433959E-3</v>
      </c>
      <c r="F48" s="496">
        <f t="shared" si="0"/>
        <v>1.9151846785225717</v>
      </c>
      <c r="G48" s="497">
        <v>100</v>
      </c>
      <c r="H48" s="499">
        <f t="shared" si="1"/>
        <v>0.11997714721005517</v>
      </c>
      <c r="I48" s="497">
        <v>40</v>
      </c>
      <c r="J48" s="449">
        <f>I48-H48</f>
        <v>39.880022852789942</v>
      </c>
      <c r="K48" s="504">
        <f>H48/I48</f>
        <v>2.9994286802513793E-3</v>
      </c>
      <c r="L48" s="491">
        <v>1.320754716981132E-2</v>
      </c>
      <c r="M48" s="281"/>
      <c r="N48" s="282"/>
      <c r="O48" s="280"/>
      <c r="P48" s="281"/>
      <c r="Q48" s="281"/>
      <c r="R48" s="285"/>
      <c r="S48" s="286"/>
      <c r="T48" s="282"/>
      <c r="V48" s="32"/>
      <c r="W48" s="32"/>
      <c r="X48" s="32"/>
      <c r="Y48" s="32"/>
      <c r="Z48" s="32"/>
      <c r="AA48" s="32"/>
      <c r="AB48" s="32"/>
      <c r="AC48" s="32"/>
      <c r="AD48" s="32"/>
      <c r="AE48" s="46"/>
      <c r="AF48" s="46"/>
      <c r="AG48" s="46"/>
      <c r="AH48" s="46"/>
      <c r="AI48" s="46"/>
      <c r="AJ48" s="46"/>
      <c r="AK48" s="46"/>
      <c r="AL48" s="46"/>
      <c r="AM48" s="46"/>
      <c r="AN48" s="46"/>
      <c r="AO48" s="46"/>
      <c r="AP48" s="46"/>
      <c r="AQ48" s="46"/>
    </row>
    <row r="49" spans="1:43" s="175" customFormat="1" ht="20.149999999999999" customHeight="1" x14ac:dyDescent="0.35">
      <c r="A49" s="32"/>
      <c r="B49" s="16"/>
      <c r="C49" s="457"/>
      <c r="D49" s="456" t="s">
        <v>169</v>
      </c>
      <c r="E49" s="493">
        <f t="shared" si="2"/>
        <v>2.779245283018867E-4</v>
      </c>
      <c r="F49" s="496">
        <f t="shared" si="0"/>
        <v>0.13433652530779749</v>
      </c>
      <c r="G49" s="497">
        <v>2.5</v>
      </c>
      <c r="H49" s="496">
        <f t="shared" si="1"/>
        <v>8.4155398971624395E-3</v>
      </c>
      <c r="I49" s="497">
        <v>1.5</v>
      </c>
      <c r="J49" s="449">
        <f>I49-H49</f>
        <v>1.4915844601028376</v>
      </c>
      <c r="K49" s="504">
        <f>H49/I49</f>
        <v>5.6103599314416266E-3</v>
      </c>
      <c r="L49" s="491">
        <v>9.2641509433962236E-4</v>
      </c>
      <c r="M49" s="281"/>
      <c r="N49" s="282"/>
      <c r="O49" s="280"/>
      <c r="P49" s="281"/>
      <c r="Q49" s="281"/>
      <c r="R49" s="285"/>
      <c r="S49" s="286"/>
      <c r="T49" s="282"/>
      <c r="V49" s="32"/>
      <c r="W49" s="32"/>
      <c r="X49" s="32"/>
      <c r="Y49" s="32"/>
      <c r="Z49" s="32"/>
      <c r="AA49" s="32"/>
      <c r="AB49" s="32"/>
      <c r="AC49" s="32"/>
      <c r="AD49" s="32"/>
      <c r="AE49" s="46"/>
      <c r="AF49" s="46"/>
      <c r="AG49" s="46"/>
      <c r="AH49" s="46"/>
      <c r="AI49" s="46"/>
      <c r="AJ49" s="46"/>
      <c r="AK49" s="46"/>
      <c r="AL49" s="46"/>
      <c r="AM49" s="46"/>
      <c r="AN49" s="46"/>
      <c r="AO49" s="46"/>
      <c r="AP49" s="46"/>
      <c r="AQ49" s="46"/>
    </row>
    <row r="50" spans="1:43" s="175" customFormat="1" ht="20.149999999999999" customHeight="1" x14ac:dyDescent="0.35">
      <c r="A50" s="32"/>
      <c r="B50" s="16"/>
      <c r="C50" s="457"/>
      <c r="D50" s="456" t="s">
        <v>170</v>
      </c>
      <c r="E50" s="494">
        <f t="shared" si="2"/>
        <v>5.688679245283019E-3</v>
      </c>
      <c r="F50" s="499">
        <f t="shared" si="0"/>
        <v>2.7496580027359783</v>
      </c>
      <c r="G50" s="497">
        <v>50</v>
      </c>
      <c r="H50" s="499">
        <f t="shared" si="1"/>
        <v>0.17225290420872211</v>
      </c>
      <c r="I50" s="497">
        <v>25</v>
      </c>
      <c r="J50" s="449">
        <f>I50-H50</f>
        <v>24.827747095791278</v>
      </c>
      <c r="K50" s="504">
        <f>H50/I50</f>
        <v>6.8901161683488843E-3</v>
      </c>
      <c r="L50" s="491">
        <v>1.8962264150943396E-2</v>
      </c>
      <c r="M50" s="281"/>
      <c r="N50" s="282"/>
      <c r="O50" s="280"/>
      <c r="P50" s="281"/>
      <c r="Q50" s="281"/>
      <c r="R50" s="285"/>
      <c r="S50" s="286"/>
      <c r="T50" s="282"/>
      <c r="V50" s="32"/>
      <c r="W50" s="32"/>
      <c r="X50" s="32"/>
      <c r="Y50" s="32"/>
      <c r="Z50" s="32"/>
      <c r="AA50" s="32"/>
      <c r="AB50" s="32"/>
      <c r="AC50" s="32"/>
      <c r="AD50" s="32"/>
      <c r="AE50" s="46"/>
      <c r="AF50" s="46"/>
      <c r="AG50" s="46"/>
      <c r="AH50" s="46"/>
      <c r="AI50" s="46"/>
      <c r="AJ50" s="46"/>
      <c r="AK50" s="46"/>
      <c r="AL50" s="46"/>
      <c r="AM50" s="46"/>
      <c r="AN50" s="46"/>
      <c r="AO50" s="46"/>
      <c r="AP50" s="46"/>
      <c r="AQ50" s="46"/>
    </row>
    <row r="51" spans="1:43" s="175" customFormat="1" ht="20.149999999999999" customHeight="1" x14ac:dyDescent="0.35">
      <c r="A51" s="32"/>
      <c r="B51" s="16"/>
      <c r="C51" s="457"/>
      <c r="D51" s="456" t="s">
        <v>164</v>
      </c>
      <c r="E51" s="460">
        <f t="shared" si="2"/>
        <v>0.31132075471698106</v>
      </c>
      <c r="F51" s="500">
        <f t="shared" si="0"/>
        <v>150.47879616963061</v>
      </c>
      <c r="G51" s="501">
        <v>800</v>
      </c>
      <c r="H51" s="500">
        <f t="shared" si="1"/>
        <v>9.4267758522186202</v>
      </c>
      <c r="I51" s="501">
        <v>600</v>
      </c>
      <c r="J51" s="449">
        <f>I51-H51</f>
        <v>590.57322414778139</v>
      </c>
      <c r="K51" s="504">
        <f>H51/I51</f>
        <v>1.5711293087031033E-2</v>
      </c>
      <c r="L51" s="492">
        <v>1.0377358490566035</v>
      </c>
      <c r="M51" s="281"/>
      <c r="N51" s="288"/>
      <c r="O51" s="280"/>
      <c r="P51" s="281"/>
      <c r="Q51" s="281"/>
      <c r="R51" s="285"/>
      <c r="S51" s="286"/>
      <c r="T51" s="288"/>
      <c r="V51" s="32"/>
      <c r="W51" s="32"/>
      <c r="X51" s="32"/>
      <c r="Y51" s="32"/>
      <c r="Z51" s="32"/>
      <c r="AA51" s="32"/>
      <c r="AB51" s="32"/>
      <c r="AC51" s="32"/>
      <c r="AD51" s="32"/>
      <c r="AE51" s="46"/>
      <c r="AF51" s="46"/>
      <c r="AG51" s="46"/>
      <c r="AH51" s="46"/>
      <c r="AI51" s="46"/>
      <c r="AJ51" s="46"/>
      <c r="AK51" s="46"/>
      <c r="AL51" s="46"/>
      <c r="AM51" s="46"/>
      <c r="AN51" s="46"/>
      <c r="AO51" s="46"/>
      <c r="AP51" s="46"/>
      <c r="AQ51" s="46"/>
    </row>
    <row r="52" spans="1:43" s="175" customFormat="1" ht="23.15" customHeight="1" x14ac:dyDescent="0.35">
      <c r="A52" s="32"/>
      <c r="B52" s="289"/>
      <c r="C52" s="451"/>
      <c r="D52" s="452"/>
      <c r="E52" s="452"/>
      <c r="F52" s="452"/>
      <c r="G52" s="452"/>
      <c r="H52" s="452"/>
      <c r="I52" s="451"/>
      <c r="J52" s="451"/>
      <c r="K52" s="448"/>
      <c r="L52" s="448"/>
      <c r="M52" s="281"/>
      <c r="N52" s="281"/>
      <c r="O52" s="281"/>
      <c r="P52" s="290"/>
      <c r="Q52" s="290"/>
      <c r="R52" s="290"/>
      <c r="S52" s="288"/>
      <c r="T52" s="288"/>
      <c r="U52" s="288"/>
      <c r="V52" s="32"/>
      <c r="W52" s="32"/>
      <c r="X52" s="32"/>
      <c r="Y52" s="32"/>
      <c r="Z52" s="32"/>
      <c r="AA52" s="32"/>
      <c r="AB52" s="32"/>
      <c r="AC52" s="32"/>
      <c r="AD52" s="32"/>
      <c r="AE52" s="46"/>
      <c r="AF52" s="46"/>
      <c r="AG52" s="46"/>
      <c r="AH52" s="46"/>
      <c r="AI52" s="46"/>
      <c r="AJ52" s="46"/>
      <c r="AK52" s="46"/>
      <c r="AL52" s="46"/>
      <c r="AM52" s="46"/>
      <c r="AN52" s="46"/>
      <c r="AO52" s="46"/>
      <c r="AP52" s="46"/>
      <c r="AQ52" s="46"/>
    </row>
    <row r="53" spans="1:43" s="8" customFormat="1" ht="15" customHeight="1" x14ac:dyDescent="0.35">
      <c r="A53" s="16"/>
      <c r="B53" s="16"/>
      <c r="C53" s="16"/>
      <c r="D53" s="16"/>
      <c r="E53" s="16"/>
      <c r="F53" s="16"/>
      <c r="G53" s="16"/>
      <c r="H53" s="16"/>
      <c r="I53" s="16"/>
      <c r="J53" s="16"/>
      <c r="K53" s="16"/>
      <c r="L53" s="280"/>
      <c r="M53" s="280"/>
      <c r="N53" s="280"/>
      <c r="O53" s="280"/>
      <c r="P53" s="280"/>
      <c r="Q53" s="280"/>
      <c r="R53" s="280"/>
      <c r="S53" s="291"/>
      <c r="T53" s="291"/>
      <c r="U53" s="291"/>
      <c r="V53" s="16"/>
      <c r="W53" s="16"/>
      <c r="X53" s="16"/>
      <c r="Y53" s="16"/>
      <c r="Z53" s="16"/>
      <c r="AA53" s="16"/>
      <c r="AB53" s="16"/>
      <c r="AC53" s="16"/>
      <c r="AD53" s="16"/>
    </row>
    <row r="54" spans="1:43" s="8" customFormat="1" ht="15" customHeight="1" x14ac:dyDescent="0.35">
      <c r="A54" s="16"/>
      <c r="B54" s="16"/>
      <c r="C54" s="16"/>
      <c r="D54" s="16"/>
      <c r="E54" s="16"/>
      <c r="F54" s="16"/>
      <c r="G54" s="16"/>
      <c r="H54" s="16"/>
      <c r="I54" s="16"/>
      <c r="J54" s="16"/>
      <c r="K54" s="16"/>
      <c r="L54" s="16"/>
      <c r="M54" s="280"/>
      <c r="N54" s="16"/>
      <c r="O54" s="280"/>
      <c r="P54" s="280"/>
      <c r="Q54" s="280"/>
      <c r="R54" s="280"/>
      <c r="S54" s="291"/>
      <c r="T54" s="291"/>
      <c r="U54" s="291"/>
      <c r="V54" s="16"/>
      <c r="W54" s="16"/>
      <c r="X54" s="16"/>
      <c r="Y54" s="16"/>
      <c r="Z54" s="16"/>
      <c r="AA54" s="16"/>
      <c r="AB54" s="16"/>
      <c r="AC54" s="16"/>
      <c r="AD54" s="16"/>
    </row>
    <row r="55" spans="1:43" s="8" customFormat="1" ht="15" customHeight="1" x14ac:dyDescent="0.35">
      <c r="A55" s="16"/>
      <c r="B55" s="16"/>
      <c r="C55" s="16"/>
      <c r="D55" s="16"/>
      <c r="E55" s="16"/>
      <c r="F55" s="16"/>
      <c r="G55" s="16"/>
      <c r="H55" s="16"/>
      <c r="I55" s="16"/>
      <c r="J55" s="16"/>
      <c r="K55" s="16"/>
      <c r="L55" s="16"/>
      <c r="M55" s="280"/>
      <c r="N55" s="16"/>
      <c r="O55" s="280"/>
      <c r="P55" s="280"/>
      <c r="Q55" s="280"/>
      <c r="R55" s="280"/>
      <c r="S55" s="291"/>
      <c r="T55" s="291"/>
      <c r="U55" s="291"/>
      <c r="V55" s="16"/>
      <c r="W55" s="16"/>
      <c r="X55" s="16"/>
      <c r="Y55" s="16"/>
      <c r="Z55" s="16"/>
      <c r="AA55" s="16"/>
      <c r="AB55" s="16"/>
      <c r="AC55" s="16"/>
      <c r="AD55" s="16"/>
    </row>
    <row r="56" spans="1:43" s="8" customFormat="1" ht="15" customHeight="1" x14ac:dyDescent="0.35">
      <c r="A56" s="16"/>
      <c r="B56" s="16"/>
      <c r="C56" s="16"/>
      <c r="D56" s="16"/>
      <c r="E56" s="16"/>
      <c r="F56" s="16"/>
      <c r="G56" s="16"/>
      <c r="H56" s="16"/>
      <c r="I56" s="16"/>
      <c r="J56" s="16"/>
      <c r="K56" s="16"/>
      <c r="L56" s="16"/>
      <c r="M56" s="280"/>
      <c r="N56" s="16"/>
      <c r="O56" s="280"/>
      <c r="P56" s="280"/>
      <c r="Q56" s="280"/>
      <c r="R56" s="280"/>
      <c r="S56" s="291"/>
      <c r="T56" s="291"/>
      <c r="U56" s="291"/>
      <c r="V56" s="16"/>
      <c r="W56" s="16"/>
      <c r="X56" s="16"/>
      <c r="Y56" s="16"/>
      <c r="Z56" s="16"/>
      <c r="AA56" s="16"/>
      <c r="AB56" s="16"/>
      <c r="AC56" s="16"/>
      <c r="AD56" s="16"/>
    </row>
    <row r="57" spans="1:43" s="31" customFormat="1" ht="15" customHeight="1" x14ac:dyDescent="0.35">
      <c r="A57" s="438"/>
      <c r="B57" s="438"/>
      <c r="C57" s="438"/>
      <c r="D57" s="438"/>
      <c r="E57" s="438"/>
      <c r="F57" s="438"/>
      <c r="G57" s="438"/>
      <c r="H57" s="438"/>
      <c r="I57" s="438"/>
      <c r="J57" s="438"/>
      <c r="K57" s="438"/>
      <c r="L57" s="438"/>
      <c r="M57" s="439"/>
      <c r="N57" s="438"/>
      <c r="O57" s="439"/>
      <c r="P57" s="439"/>
      <c r="Q57" s="439"/>
      <c r="R57" s="439"/>
      <c r="S57" s="439"/>
      <c r="T57" s="439"/>
      <c r="U57" s="439"/>
      <c r="V57" s="438"/>
      <c r="W57" s="438"/>
      <c r="X57" s="438"/>
      <c r="Y57" s="438"/>
      <c r="Z57" s="438"/>
      <c r="AA57" s="438"/>
      <c r="AB57" s="438"/>
      <c r="AC57" s="438"/>
      <c r="AD57" s="438"/>
    </row>
    <row r="58" spans="1:43" s="31" customFormat="1" ht="15" customHeight="1" x14ac:dyDescent="0.35">
      <c r="A58" s="438"/>
      <c r="B58" s="438"/>
      <c r="C58" s="438"/>
      <c r="D58" s="438"/>
      <c r="E58" s="438"/>
      <c r="F58" s="438"/>
      <c r="G58" s="438"/>
      <c r="H58" s="438"/>
      <c r="I58" s="438"/>
      <c r="J58" s="438"/>
      <c r="K58" s="438"/>
      <c r="L58" s="438"/>
      <c r="M58" s="439"/>
      <c r="N58" s="438"/>
      <c r="O58" s="439"/>
      <c r="P58" s="439"/>
      <c r="Q58" s="439"/>
      <c r="R58" s="439"/>
      <c r="S58" s="439"/>
      <c r="T58" s="439"/>
      <c r="U58" s="439"/>
      <c r="V58" s="438"/>
      <c r="W58" s="438"/>
      <c r="X58" s="438"/>
      <c r="Y58" s="438"/>
      <c r="Z58" s="438"/>
      <c r="AA58" s="438"/>
      <c r="AB58" s="438"/>
      <c r="AC58" s="438"/>
      <c r="AD58" s="438"/>
    </row>
    <row r="59" spans="1:43" s="31" customFormat="1" x14ac:dyDescent="0.35">
      <c r="A59" s="438"/>
      <c r="B59" s="438"/>
      <c r="C59" s="438"/>
      <c r="D59" s="438"/>
      <c r="E59" s="438"/>
      <c r="F59" s="438"/>
      <c r="G59" s="438"/>
      <c r="H59" s="438"/>
      <c r="I59" s="438"/>
      <c r="J59" s="438"/>
      <c r="K59" s="438"/>
      <c r="L59" s="438"/>
      <c r="M59" s="439"/>
      <c r="N59" s="438"/>
      <c r="O59" s="440"/>
      <c r="P59" s="441"/>
      <c r="Q59" s="440"/>
      <c r="R59" s="439"/>
      <c r="S59" s="439"/>
      <c r="T59" s="439"/>
      <c r="U59" s="439"/>
      <c r="V59" s="438"/>
      <c r="W59" s="438"/>
      <c r="X59" s="438"/>
      <c r="Y59" s="438"/>
      <c r="Z59" s="438"/>
      <c r="AA59" s="438"/>
      <c r="AB59" s="438"/>
      <c r="AC59" s="438"/>
      <c r="AD59" s="438"/>
    </row>
    <row r="60" spans="1:43" s="31" customFormat="1" x14ac:dyDescent="0.35">
      <c r="A60" s="438"/>
      <c r="B60" s="438"/>
      <c r="C60" s="438"/>
      <c r="D60" s="438"/>
      <c r="E60" s="438"/>
      <c r="F60" s="438"/>
      <c r="G60" s="438"/>
      <c r="H60" s="438"/>
      <c r="I60" s="438"/>
      <c r="J60" s="438"/>
      <c r="K60" s="438"/>
      <c r="L60" s="438"/>
      <c r="M60" s="439"/>
      <c r="N60" s="438"/>
      <c r="O60" s="440"/>
      <c r="P60" s="440"/>
      <c r="Q60" s="440"/>
      <c r="R60" s="439"/>
      <c r="S60" s="439"/>
      <c r="T60" s="439"/>
      <c r="U60" s="439"/>
      <c r="V60" s="438"/>
      <c r="W60" s="438"/>
      <c r="X60" s="438"/>
      <c r="Y60" s="438"/>
      <c r="Z60" s="438"/>
      <c r="AA60" s="438"/>
      <c r="AB60" s="438"/>
      <c r="AC60" s="438"/>
      <c r="AD60" s="438"/>
    </row>
    <row r="61" spans="1:43" s="31" customFormat="1" x14ac:dyDescent="0.35">
      <c r="A61" s="438"/>
      <c r="B61" s="438"/>
      <c r="C61" s="438"/>
      <c r="D61" s="438"/>
      <c r="E61" s="438"/>
      <c r="F61" s="438"/>
      <c r="G61" s="438"/>
      <c r="H61" s="438"/>
      <c r="I61" s="438"/>
      <c r="J61" s="438"/>
      <c r="K61" s="438"/>
      <c r="L61" s="438"/>
      <c r="M61" s="439"/>
      <c r="N61" s="438"/>
      <c r="O61" s="440"/>
      <c r="P61" s="440"/>
      <c r="Q61" s="440"/>
      <c r="R61" s="439"/>
      <c r="S61" s="439"/>
      <c r="T61" s="439"/>
      <c r="U61" s="439"/>
      <c r="V61" s="438"/>
      <c r="W61" s="438"/>
      <c r="X61" s="438"/>
      <c r="Y61" s="438"/>
      <c r="Z61" s="438"/>
      <c r="AA61" s="438"/>
      <c r="AB61" s="438"/>
      <c r="AC61" s="438"/>
      <c r="AD61" s="438"/>
    </row>
    <row r="62" spans="1:43" s="31" customFormat="1" x14ac:dyDescent="0.35">
      <c r="A62" s="438"/>
      <c r="B62" s="438"/>
      <c r="C62" s="438"/>
      <c r="D62" s="438"/>
      <c r="E62" s="438"/>
      <c r="F62" s="438"/>
      <c r="G62" s="438"/>
      <c r="H62" s="438"/>
      <c r="I62" s="438"/>
      <c r="J62" s="438"/>
      <c r="K62" s="438"/>
      <c r="L62" s="438"/>
      <c r="M62" s="439"/>
      <c r="N62" s="438"/>
      <c r="O62" s="439"/>
      <c r="P62" s="440"/>
      <c r="Q62" s="440"/>
      <c r="R62" s="439"/>
      <c r="S62" s="439"/>
      <c r="T62" s="439"/>
      <c r="U62" s="439"/>
      <c r="V62" s="438"/>
      <c r="W62" s="438"/>
      <c r="X62" s="438"/>
      <c r="Y62" s="438"/>
      <c r="Z62" s="438"/>
      <c r="AA62" s="438"/>
      <c r="AB62" s="438"/>
      <c r="AC62" s="438"/>
      <c r="AD62" s="438"/>
    </row>
    <row r="63" spans="1:43" s="31" customFormat="1" x14ac:dyDescent="0.35">
      <c r="A63" s="438"/>
      <c r="B63" s="438"/>
      <c r="C63" s="438"/>
      <c r="D63" s="438"/>
      <c r="E63" s="438"/>
      <c r="F63" s="438"/>
      <c r="G63" s="438"/>
      <c r="H63" s="438"/>
      <c r="I63" s="438"/>
      <c r="J63" s="438"/>
      <c r="K63" s="438"/>
      <c r="L63" s="438"/>
      <c r="M63" s="439"/>
      <c r="N63" s="438"/>
      <c r="O63" s="440"/>
      <c r="P63" s="442"/>
      <c r="Q63" s="440"/>
      <c r="R63" s="439"/>
      <c r="S63" s="439"/>
      <c r="T63" s="439"/>
      <c r="U63" s="439"/>
      <c r="V63" s="438"/>
      <c r="W63" s="438"/>
      <c r="X63" s="438"/>
      <c r="Y63" s="438"/>
      <c r="Z63" s="438"/>
      <c r="AA63" s="438"/>
      <c r="AB63" s="438"/>
      <c r="AC63" s="438"/>
      <c r="AD63" s="438"/>
    </row>
    <row r="64" spans="1:43" s="31" customFormat="1" x14ac:dyDescent="0.35">
      <c r="A64" s="438"/>
      <c r="B64" s="438"/>
      <c r="C64" s="438"/>
      <c r="D64" s="438"/>
      <c r="E64" s="438"/>
      <c r="F64" s="438"/>
      <c r="G64" s="438"/>
      <c r="H64" s="438"/>
      <c r="I64" s="438"/>
      <c r="J64" s="438"/>
      <c r="K64" s="438"/>
      <c r="L64" s="438"/>
      <c r="M64" s="439"/>
      <c r="N64" s="438"/>
      <c r="O64" s="440"/>
      <c r="P64" s="440"/>
      <c r="Q64" s="440"/>
      <c r="R64" s="439"/>
      <c r="S64" s="439"/>
      <c r="T64" s="439"/>
      <c r="U64" s="439"/>
      <c r="V64" s="438"/>
      <c r="W64" s="438"/>
      <c r="X64" s="438"/>
      <c r="Y64" s="438"/>
      <c r="Z64" s="438"/>
      <c r="AA64" s="438"/>
      <c r="AB64" s="438"/>
      <c r="AC64" s="438"/>
      <c r="AD64" s="438"/>
    </row>
    <row r="65" spans="1:30" s="31" customFormat="1" x14ac:dyDescent="0.35">
      <c r="A65" s="438"/>
      <c r="B65" s="438"/>
      <c r="C65" s="438"/>
      <c r="D65" s="438"/>
      <c r="E65" s="438"/>
      <c r="F65" s="438"/>
      <c r="G65" s="438"/>
      <c r="H65" s="438"/>
      <c r="I65" s="438"/>
      <c r="J65" s="438"/>
      <c r="K65" s="438"/>
      <c r="L65" s="438"/>
      <c r="M65" s="439"/>
      <c r="N65" s="438"/>
      <c r="O65" s="440"/>
      <c r="P65" s="440"/>
      <c r="Q65" s="440"/>
      <c r="R65" s="439"/>
      <c r="S65" s="439"/>
      <c r="T65" s="439"/>
      <c r="U65" s="439"/>
      <c r="V65" s="438"/>
      <c r="W65" s="438"/>
      <c r="X65" s="438"/>
      <c r="Y65" s="438"/>
      <c r="Z65" s="438"/>
      <c r="AA65" s="438"/>
      <c r="AB65" s="438"/>
      <c r="AC65" s="438"/>
      <c r="AD65" s="438"/>
    </row>
    <row r="66" spans="1:30" s="31" customFormat="1" x14ac:dyDescent="0.35">
      <c r="A66" s="438"/>
      <c r="B66" s="438"/>
      <c r="C66" s="438"/>
      <c r="D66" s="438"/>
      <c r="E66" s="438"/>
      <c r="F66" s="438"/>
      <c r="G66" s="438"/>
      <c r="H66" s="438"/>
      <c r="I66" s="438"/>
      <c r="J66" s="438"/>
      <c r="K66" s="438"/>
      <c r="L66" s="438"/>
      <c r="M66" s="439"/>
      <c r="N66" s="438"/>
      <c r="O66" s="440"/>
      <c r="P66" s="440"/>
      <c r="Q66" s="440"/>
      <c r="R66" s="439"/>
      <c r="S66" s="439"/>
      <c r="T66" s="439"/>
      <c r="U66" s="439"/>
      <c r="V66" s="438"/>
      <c r="W66" s="438"/>
      <c r="X66" s="438"/>
      <c r="Y66" s="438"/>
      <c r="Z66" s="438"/>
      <c r="AA66" s="438"/>
      <c r="AB66" s="438"/>
      <c r="AC66" s="438"/>
      <c r="AD66" s="438"/>
    </row>
    <row r="67" spans="1:30" s="31" customFormat="1" x14ac:dyDescent="0.35">
      <c r="A67" s="438"/>
      <c r="B67" s="438"/>
      <c r="C67" s="438"/>
      <c r="D67" s="438"/>
      <c r="E67" s="438"/>
      <c r="F67" s="438"/>
      <c r="G67" s="438"/>
      <c r="H67" s="438"/>
      <c r="I67" s="438"/>
      <c r="J67" s="438"/>
      <c r="K67" s="438"/>
      <c r="L67" s="438"/>
      <c r="M67" s="439"/>
      <c r="N67" s="438"/>
      <c r="O67" s="440"/>
      <c r="P67" s="440"/>
      <c r="Q67" s="440"/>
      <c r="R67" s="439"/>
      <c r="S67" s="439"/>
      <c r="T67" s="439"/>
      <c r="U67" s="439"/>
      <c r="V67" s="438"/>
      <c r="W67" s="438"/>
      <c r="X67" s="438"/>
      <c r="Y67" s="438"/>
      <c r="Z67" s="438"/>
      <c r="AA67" s="438"/>
      <c r="AB67" s="438"/>
      <c r="AC67" s="438"/>
      <c r="AD67" s="438"/>
    </row>
    <row r="68" spans="1:30" s="31" customFormat="1" x14ac:dyDescent="0.35">
      <c r="A68" s="438"/>
      <c r="B68" s="438"/>
      <c r="C68" s="438"/>
      <c r="D68" s="438"/>
      <c r="E68" s="438"/>
      <c r="F68" s="438"/>
      <c r="G68" s="438"/>
      <c r="H68" s="438"/>
      <c r="I68" s="438"/>
      <c r="J68" s="438"/>
      <c r="K68" s="438"/>
      <c r="L68" s="438"/>
      <c r="M68" s="439"/>
      <c r="N68" s="438"/>
      <c r="O68" s="440"/>
      <c r="P68" s="440"/>
      <c r="Q68" s="440"/>
      <c r="R68" s="439"/>
      <c r="S68" s="439"/>
      <c r="T68" s="439"/>
      <c r="U68" s="439"/>
      <c r="V68" s="438"/>
      <c r="W68" s="438"/>
      <c r="X68" s="438"/>
      <c r="Y68" s="438"/>
      <c r="Z68" s="438"/>
      <c r="AA68" s="438"/>
      <c r="AB68" s="438"/>
      <c r="AC68" s="438"/>
      <c r="AD68" s="438"/>
    </row>
    <row r="69" spans="1:30" s="31" customFormat="1" x14ac:dyDescent="0.35">
      <c r="A69" s="438"/>
      <c r="B69" s="438"/>
      <c r="C69" s="438"/>
      <c r="D69" s="438"/>
      <c r="E69" s="438"/>
      <c r="F69" s="438"/>
      <c r="G69" s="438"/>
      <c r="H69" s="438"/>
      <c r="I69" s="438"/>
      <c r="J69" s="438"/>
      <c r="K69" s="438"/>
      <c r="L69" s="438"/>
      <c r="M69" s="439"/>
      <c r="N69" s="438"/>
      <c r="O69" s="440"/>
      <c r="P69" s="440"/>
      <c r="Q69" s="440"/>
      <c r="R69" s="439"/>
      <c r="S69" s="439"/>
      <c r="T69" s="439"/>
      <c r="U69" s="439"/>
      <c r="V69" s="438"/>
      <c r="W69" s="438"/>
      <c r="X69" s="438"/>
      <c r="Y69" s="438"/>
      <c r="Z69" s="438"/>
      <c r="AA69" s="438"/>
      <c r="AB69" s="438"/>
      <c r="AC69" s="438"/>
      <c r="AD69" s="438"/>
    </row>
    <row r="70" spans="1:30" s="31" customFormat="1" x14ac:dyDescent="0.35">
      <c r="A70" s="438"/>
      <c r="B70" s="438"/>
      <c r="C70" s="438"/>
      <c r="D70" s="438"/>
      <c r="E70" s="438"/>
      <c r="F70" s="438"/>
      <c r="G70" s="438"/>
      <c r="H70" s="438"/>
      <c r="I70" s="438"/>
      <c r="J70" s="438"/>
      <c r="K70" s="438"/>
      <c r="L70" s="438"/>
      <c r="M70" s="439"/>
      <c r="N70" s="438"/>
      <c r="O70" s="440"/>
      <c r="P70" s="440"/>
      <c r="Q70" s="440"/>
      <c r="R70" s="439"/>
      <c r="S70" s="439"/>
      <c r="T70" s="439"/>
      <c r="U70" s="439"/>
      <c r="V70" s="438"/>
      <c r="W70" s="438"/>
      <c r="X70" s="438"/>
      <c r="Y70" s="438"/>
      <c r="Z70" s="438"/>
      <c r="AA70" s="438"/>
      <c r="AB70" s="438"/>
      <c r="AC70" s="438"/>
      <c r="AD70" s="438"/>
    </row>
    <row r="71" spans="1:30" s="31" customFormat="1" x14ac:dyDescent="0.35">
      <c r="A71" s="438"/>
      <c r="B71" s="438"/>
      <c r="C71" s="438"/>
      <c r="D71" s="438"/>
      <c r="E71" s="438"/>
      <c r="F71" s="438"/>
      <c r="G71" s="438"/>
      <c r="H71" s="438"/>
      <c r="I71" s="438"/>
      <c r="J71" s="438"/>
      <c r="K71" s="438"/>
      <c r="L71" s="438"/>
      <c r="M71" s="439"/>
      <c r="N71" s="438"/>
      <c r="O71" s="440"/>
      <c r="P71" s="440"/>
      <c r="Q71" s="440"/>
      <c r="R71" s="439"/>
      <c r="S71" s="439"/>
      <c r="T71" s="439"/>
      <c r="U71" s="439"/>
      <c r="V71" s="438"/>
      <c r="W71" s="438"/>
      <c r="X71" s="438"/>
      <c r="Y71" s="438"/>
      <c r="Z71" s="438"/>
      <c r="AA71" s="438"/>
      <c r="AB71" s="438"/>
      <c r="AC71" s="438"/>
      <c r="AD71" s="438"/>
    </row>
    <row r="72" spans="1:30" s="31" customFormat="1" x14ac:dyDescent="0.35">
      <c r="A72" s="438"/>
      <c r="B72" s="438"/>
      <c r="C72" s="438"/>
      <c r="D72" s="438"/>
      <c r="E72" s="438"/>
      <c r="F72" s="438"/>
      <c r="G72" s="438"/>
      <c r="H72" s="438"/>
      <c r="I72" s="438"/>
      <c r="J72" s="438"/>
      <c r="K72" s="438"/>
      <c r="L72" s="438"/>
      <c r="M72" s="439"/>
      <c r="N72" s="438"/>
      <c r="O72" s="440"/>
      <c r="P72" s="440"/>
      <c r="Q72" s="440"/>
      <c r="R72" s="439"/>
      <c r="S72" s="439"/>
      <c r="T72" s="439"/>
      <c r="U72" s="439"/>
      <c r="V72" s="438"/>
      <c r="W72" s="438"/>
      <c r="X72" s="438"/>
      <c r="Y72" s="438"/>
      <c r="Z72" s="438"/>
      <c r="AA72" s="438"/>
      <c r="AB72" s="438"/>
      <c r="AC72" s="438"/>
      <c r="AD72" s="438"/>
    </row>
    <row r="73" spans="1:30" s="31" customFormat="1" x14ac:dyDescent="0.35">
      <c r="A73" s="438"/>
      <c r="B73" s="438"/>
      <c r="C73" s="439"/>
      <c r="D73" s="438"/>
      <c r="E73" s="439"/>
      <c r="F73" s="438"/>
      <c r="G73" s="439"/>
      <c r="H73" s="438"/>
      <c r="I73" s="439"/>
      <c r="J73" s="438"/>
      <c r="K73" s="439"/>
      <c r="L73" s="438"/>
      <c r="M73" s="439"/>
      <c r="N73" s="438"/>
      <c r="O73" s="440"/>
      <c r="P73" s="440"/>
      <c r="Q73" s="440"/>
      <c r="R73" s="439"/>
      <c r="S73" s="439"/>
      <c r="T73" s="439"/>
      <c r="U73" s="439"/>
      <c r="V73" s="438"/>
      <c r="W73" s="438"/>
      <c r="X73" s="438"/>
      <c r="Y73" s="438"/>
      <c r="Z73" s="438"/>
      <c r="AA73" s="438"/>
      <c r="AB73" s="438"/>
      <c r="AC73" s="438"/>
      <c r="AD73" s="438"/>
    </row>
    <row r="74" spans="1:30" s="31" customFormat="1" x14ac:dyDescent="0.35">
      <c r="A74" s="438"/>
      <c r="B74" s="438"/>
      <c r="C74" s="439"/>
      <c r="D74" s="438"/>
      <c r="E74" s="439"/>
      <c r="F74" s="438"/>
      <c r="G74" s="439"/>
      <c r="H74" s="438"/>
      <c r="I74" s="439"/>
      <c r="J74" s="438"/>
      <c r="K74" s="439"/>
      <c r="L74" s="438"/>
      <c r="M74" s="439"/>
      <c r="N74" s="438"/>
      <c r="O74" s="440"/>
      <c r="P74" s="440"/>
      <c r="Q74" s="440"/>
      <c r="R74" s="439"/>
      <c r="S74" s="439"/>
      <c r="T74" s="439"/>
      <c r="U74" s="439"/>
      <c r="V74" s="438"/>
      <c r="W74" s="438"/>
      <c r="X74" s="438"/>
      <c r="Y74" s="438"/>
      <c r="Z74" s="438"/>
      <c r="AA74" s="438"/>
      <c r="AB74" s="438"/>
      <c r="AC74" s="438"/>
      <c r="AD74" s="438"/>
    </row>
    <row r="75" spans="1:30" s="31" customFormat="1" x14ac:dyDescent="0.35">
      <c r="A75" s="438"/>
      <c r="B75" s="438"/>
      <c r="C75" s="439"/>
      <c r="D75" s="438"/>
      <c r="E75" s="439"/>
      <c r="F75" s="438"/>
      <c r="G75" s="439"/>
      <c r="H75" s="438"/>
      <c r="I75" s="439"/>
      <c r="J75" s="438"/>
      <c r="K75" s="439"/>
      <c r="L75" s="438"/>
      <c r="M75" s="439"/>
      <c r="N75" s="438"/>
      <c r="O75" s="440"/>
      <c r="P75" s="440"/>
      <c r="Q75" s="440"/>
      <c r="R75" s="439"/>
      <c r="S75" s="439"/>
      <c r="T75" s="439"/>
      <c r="U75" s="439"/>
      <c r="V75" s="438"/>
      <c r="W75" s="438"/>
      <c r="X75" s="438"/>
      <c r="Y75" s="438"/>
      <c r="Z75" s="438"/>
      <c r="AA75" s="438"/>
      <c r="AB75" s="438"/>
      <c r="AC75" s="438"/>
      <c r="AD75" s="438"/>
    </row>
    <row r="76" spans="1:30" s="31" customFormat="1" x14ac:dyDescent="0.35">
      <c r="A76" s="438"/>
      <c r="B76" s="438"/>
      <c r="C76" s="439"/>
      <c r="D76" s="438"/>
      <c r="E76" s="439"/>
      <c r="F76" s="438"/>
      <c r="G76" s="439"/>
      <c r="H76" s="438"/>
      <c r="I76" s="439"/>
      <c r="J76" s="438"/>
      <c r="K76" s="439"/>
      <c r="L76" s="438"/>
      <c r="M76" s="439"/>
      <c r="N76" s="438"/>
      <c r="O76" s="440"/>
      <c r="P76" s="440"/>
      <c r="Q76" s="440"/>
      <c r="R76" s="439"/>
      <c r="S76" s="439"/>
      <c r="T76" s="439"/>
      <c r="U76" s="439"/>
      <c r="V76" s="438"/>
      <c r="W76" s="438"/>
      <c r="X76" s="438"/>
      <c r="Y76" s="438"/>
      <c r="Z76" s="438"/>
      <c r="AA76" s="438"/>
      <c r="AB76" s="438"/>
      <c r="AC76" s="438"/>
      <c r="AD76" s="438"/>
    </row>
    <row r="77" spans="1:30" s="31" customFormat="1" x14ac:dyDescent="0.35">
      <c r="A77" s="438"/>
      <c r="B77" s="438"/>
      <c r="C77" s="439"/>
      <c r="D77" s="438"/>
      <c r="E77" s="439"/>
      <c r="F77" s="438"/>
      <c r="G77" s="439"/>
      <c r="H77" s="438"/>
      <c r="I77" s="439"/>
      <c r="J77" s="438"/>
      <c r="K77" s="439"/>
      <c r="L77" s="438"/>
      <c r="M77" s="439"/>
      <c r="N77" s="438"/>
      <c r="O77" s="440"/>
      <c r="P77" s="440"/>
      <c r="Q77" s="440"/>
      <c r="R77" s="439"/>
      <c r="S77" s="439"/>
      <c r="T77" s="439"/>
      <c r="U77" s="439"/>
      <c r="V77" s="438"/>
      <c r="W77" s="438"/>
      <c r="X77" s="438"/>
      <c r="Y77" s="438"/>
      <c r="Z77" s="438"/>
      <c r="AA77" s="438"/>
      <c r="AB77" s="438"/>
      <c r="AC77" s="438"/>
      <c r="AD77" s="438"/>
    </row>
    <row r="78" spans="1:30" s="31" customFormat="1" x14ac:dyDescent="0.35">
      <c r="A78" s="438"/>
      <c r="B78" s="438"/>
      <c r="C78" s="439"/>
      <c r="D78" s="438"/>
      <c r="E78" s="439"/>
      <c r="F78" s="438"/>
      <c r="G78" s="439"/>
      <c r="H78" s="438"/>
      <c r="I78" s="439"/>
      <c r="J78" s="438"/>
      <c r="K78" s="439"/>
      <c r="L78" s="438"/>
      <c r="M78" s="439"/>
      <c r="N78" s="438"/>
      <c r="O78" s="440"/>
      <c r="P78" s="440"/>
      <c r="Q78" s="440"/>
      <c r="R78" s="439"/>
      <c r="S78" s="439"/>
      <c r="T78" s="439"/>
      <c r="U78" s="439"/>
      <c r="V78" s="438"/>
      <c r="W78" s="438"/>
      <c r="X78" s="438"/>
      <c r="Y78" s="438"/>
      <c r="Z78" s="438"/>
      <c r="AA78" s="438"/>
      <c r="AB78" s="438"/>
      <c r="AC78" s="438"/>
      <c r="AD78" s="438"/>
    </row>
    <row r="79" spans="1:30" s="31" customFormat="1" x14ac:dyDescent="0.35">
      <c r="A79" s="438"/>
      <c r="B79" s="438"/>
      <c r="C79" s="439"/>
      <c r="D79" s="438"/>
      <c r="E79" s="439"/>
      <c r="F79" s="438"/>
      <c r="G79" s="439"/>
      <c r="H79" s="438"/>
      <c r="I79" s="439"/>
      <c r="J79" s="438"/>
      <c r="K79" s="439"/>
      <c r="L79" s="438"/>
      <c r="M79" s="439"/>
      <c r="N79" s="438"/>
      <c r="O79" s="440"/>
      <c r="P79" s="440"/>
      <c r="Q79" s="440"/>
      <c r="R79" s="439"/>
      <c r="S79" s="439"/>
      <c r="T79" s="439"/>
      <c r="U79" s="439"/>
      <c r="V79" s="438"/>
      <c r="W79" s="438"/>
      <c r="X79" s="438"/>
      <c r="Y79" s="438"/>
      <c r="Z79" s="438"/>
      <c r="AA79" s="438"/>
      <c r="AB79" s="438"/>
      <c r="AC79" s="438"/>
      <c r="AD79" s="438"/>
    </row>
    <row r="80" spans="1:30" s="31" customFormat="1" x14ac:dyDescent="0.35">
      <c r="A80" s="438"/>
      <c r="B80" s="438"/>
      <c r="C80" s="439"/>
      <c r="D80" s="438"/>
      <c r="E80" s="439"/>
      <c r="F80" s="438"/>
      <c r="G80" s="439"/>
      <c r="H80" s="438"/>
      <c r="I80" s="439"/>
      <c r="J80" s="438"/>
      <c r="K80" s="439"/>
      <c r="L80" s="438"/>
      <c r="M80" s="439"/>
      <c r="N80" s="438"/>
      <c r="O80" s="440"/>
      <c r="P80" s="440"/>
      <c r="Q80" s="440"/>
      <c r="R80" s="439"/>
      <c r="S80" s="439"/>
      <c r="T80" s="439"/>
      <c r="U80" s="439"/>
      <c r="V80" s="438"/>
      <c r="W80" s="438"/>
      <c r="X80" s="438"/>
      <c r="Y80" s="438"/>
      <c r="Z80" s="438"/>
      <c r="AA80" s="438"/>
      <c r="AB80" s="438"/>
      <c r="AC80" s="438"/>
      <c r="AD80" s="438"/>
    </row>
    <row r="81" spans="1:30" s="31" customFormat="1" x14ac:dyDescent="0.35">
      <c r="A81" s="438"/>
      <c r="B81" s="438"/>
      <c r="C81" s="439"/>
      <c r="D81" s="438"/>
      <c r="E81" s="439"/>
      <c r="F81" s="438"/>
      <c r="G81" s="439"/>
      <c r="H81" s="438"/>
      <c r="I81" s="439"/>
      <c r="J81" s="438"/>
      <c r="K81" s="439"/>
      <c r="L81" s="438"/>
      <c r="M81" s="439"/>
      <c r="N81" s="438"/>
      <c r="O81" s="440"/>
      <c r="P81" s="440"/>
      <c r="Q81" s="440"/>
      <c r="R81" s="439"/>
      <c r="S81" s="439"/>
      <c r="T81" s="439"/>
      <c r="U81" s="439"/>
      <c r="V81" s="438"/>
      <c r="W81" s="438"/>
      <c r="X81" s="438"/>
      <c r="Y81" s="438"/>
      <c r="Z81" s="438"/>
      <c r="AA81" s="438"/>
      <c r="AB81" s="438"/>
      <c r="AC81" s="438"/>
      <c r="AD81" s="438"/>
    </row>
    <row r="82" spans="1:30" s="31" customFormat="1" x14ac:dyDescent="0.35">
      <c r="A82" s="438"/>
      <c r="B82" s="438"/>
      <c r="C82" s="439"/>
      <c r="D82" s="438"/>
      <c r="E82" s="439"/>
      <c r="F82" s="438"/>
      <c r="G82" s="439"/>
      <c r="H82" s="438"/>
      <c r="I82" s="439"/>
      <c r="J82" s="438"/>
      <c r="K82" s="439"/>
      <c r="L82" s="438"/>
      <c r="M82" s="439"/>
      <c r="N82" s="438"/>
      <c r="O82" s="440"/>
      <c r="P82" s="440"/>
      <c r="Q82" s="440"/>
      <c r="R82" s="439"/>
      <c r="S82" s="439"/>
      <c r="T82" s="439"/>
      <c r="U82" s="439"/>
      <c r="V82" s="438"/>
      <c r="W82" s="438"/>
      <c r="X82" s="438"/>
      <c r="Y82" s="438"/>
      <c r="Z82" s="438"/>
      <c r="AA82" s="438"/>
      <c r="AB82" s="438"/>
      <c r="AC82" s="438"/>
      <c r="AD82" s="438"/>
    </row>
    <row r="83" spans="1:30" s="31" customFormat="1" x14ac:dyDescent="0.35">
      <c r="A83" s="438"/>
      <c r="B83" s="438"/>
      <c r="C83" s="439"/>
      <c r="D83" s="438"/>
      <c r="E83" s="439"/>
      <c r="F83" s="438"/>
      <c r="G83" s="439"/>
      <c r="H83" s="438"/>
      <c r="I83" s="439"/>
      <c r="J83" s="438"/>
      <c r="K83" s="439"/>
      <c r="L83" s="438"/>
      <c r="M83" s="439"/>
      <c r="N83" s="438"/>
      <c r="O83" s="440"/>
      <c r="P83" s="440"/>
      <c r="Q83" s="440"/>
      <c r="R83" s="439"/>
      <c r="S83" s="439"/>
      <c r="T83" s="439"/>
      <c r="U83" s="439"/>
      <c r="V83" s="438"/>
      <c r="W83" s="438"/>
      <c r="X83" s="438"/>
      <c r="Y83" s="438"/>
      <c r="Z83" s="438"/>
      <c r="AA83" s="438"/>
      <c r="AB83" s="438"/>
      <c r="AC83" s="438"/>
      <c r="AD83" s="438"/>
    </row>
    <row r="84" spans="1:30" s="31" customFormat="1" x14ac:dyDescent="0.35">
      <c r="A84" s="438"/>
      <c r="B84" s="438"/>
      <c r="C84" s="439"/>
      <c r="D84" s="438"/>
      <c r="E84" s="439"/>
      <c r="F84" s="438"/>
      <c r="G84" s="439"/>
      <c r="H84" s="438"/>
      <c r="I84" s="439"/>
      <c r="J84" s="438"/>
      <c r="K84" s="439"/>
      <c r="L84" s="438"/>
      <c r="M84" s="439"/>
      <c r="N84" s="438"/>
      <c r="O84" s="440"/>
      <c r="P84" s="440"/>
      <c r="Q84" s="440"/>
      <c r="R84" s="439"/>
      <c r="S84" s="439"/>
      <c r="T84" s="439"/>
      <c r="U84" s="439"/>
      <c r="V84" s="438"/>
      <c r="W84" s="438"/>
      <c r="X84" s="438"/>
      <c r="Y84" s="438"/>
      <c r="Z84" s="438"/>
      <c r="AA84" s="438"/>
      <c r="AB84" s="438"/>
      <c r="AC84" s="438"/>
      <c r="AD84" s="438"/>
    </row>
    <row r="85" spans="1:30" s="8" customFormat="1" x14ac:dyDescent="0.35">
      <c r="A85" s="16"/>
      <c r="B85" s="16"/>
      <c r="C85" s="280"/>
      <c r="D85" s="16"/>
      <c r="E85" s="280"/>
      <c r="F85" s="16"/>
      <c r="G85" s="280"/>
      <c r="H85" s="16"/>
      <c r="I85" s="280"/>
      <c r="J85" s="16"/>
      <c r="K85" s="280"/>
      <c r="L85" s="16"/>
      <c r="M85" s="280"/>
      <c r="N85" s="16"/>
      <c r="O85" s="287"/>
      <c r="P85" s="287"/>
      <c r="Q85" s="287"/>
      <c r="R85" s="280"/>
      <c r="S85" s="291"/>
      <c r="T85" s="291"/>
      <c r="U85" s="291"/>
      <c r="V85" s="16"/>
      <c r="W85" s="16"/>
      <c r="X85" s="16"/>
      <c r="Y85" s="16"/>
      <c r="Z85" s="16"/>
      <c r="AA85" s="16"/>
      <c r="AB85" s="16"/>
      <c r="AC85" s="16"/>
      <c r="AD85" s="16"/>
    </row>
    <row r="86" spans="1:30" s="8" customFormat="1" x14ac:dyDescent="0.35">
      <c r="A86" s="16"/>
      <c r="B86" s="16"/>
      <c r="C86" s="280"/>
      <c r="D86" s="280"/>
      <c r="E86" s="280"/>
      <c r="F86" s="280"/>
      <c r="G86" s="280"/>
      <c r="H86" s="280"/>
      <c r="I86" s="280"/>
      <c r="J86" s="280"/>
      <c r="K86" s="280"/>
      <c r="L86" s="287"/>
      <c r="M86" s="287"/>
      <c r="N86" s="287"/>
      <c r="O86" s="287"/>
      <c r="P86" s="287"/>
      <c r="Q86" s="287"/>
      <c r="R86" s="280"/>
      <c r="S86" s="291"/>
      <c r="T86" s="291"/>
      <c r="U86" s="291"/>
      <c r="V86" s="16"/>
      <c r="W86" s="16"/>
      <c r="X86" s="16"/>
      <c r="Y86" s="16"/>
      <c r="Z86" s="16"/>
      <c r="AA86" s="16"/>
      <c r="AB86" s="16"/>
      <c r="AC86" s="16"/>
      <c r="AD86" s="16"/>
    </row>
    <row r="87" spans="1:30" s="8" customFormat="1" x14ac:dyDescent="0.35">
      <c r="A87" s="16"/>
      <c r="B87" s="16"/>
      <c r="C87" s="280"/>
      <c r="D87" s="280"/>
      <c r="E87" s="280"/>
      <c r="F87" s="280"/>
      <c r="G87" s="280"/>
      <c r="H87" s="280"/>
      <c r="I87" s="280"/>
      <c r="J87" s="280"/>
      <c r="K87" s="280"/>
      <c r="L87" s="287"/>
      <c r="M87" s="287"/>
      <c r="N87" s="287"/>
      <c r="O87" s="287"/>
      <c r="P87" s="287"/>
      <c r="Q87" s="287"/>
      <c r="R87" s="280"/>
      <c r="S87" s="291"/>
      <c r="T87" s="291"/>
      <c r="U87" s="291"/>
      <c r="V87" s="16"/>
      <c r="W87" s="16"/>
      <c r="X87" s="16"/>
      <c r="Y87" s="16"/>
      <c r="Z87" s="16"/>
      <c r="AA87" s="16"/>
      <c r="AB87" s="16"/>
      <c r="AC87" s="16"/>
      <c r="AD87" s="16"/>
    </row>
    <row r="88" spans="1:30" s="8" customFormat="1" x14ac:dyDescent="0.35">
      <c r="A88" s="16"/>
      <c r="B88" s="16"/>
      <c r="C88" s="280"/>
      <c r="D88" s="280"/>
      <c r="E88" s="280"/>
      <c r="F88" s="280"/>
      <c r="G88" s="280"/>
      <c r="H88" s="280"/>
      <c r="I88" s="280"/>
      <c r="J88" s="280"/>
      <c r="K88" s="280"/>
      <c r="L88" s="287"/>
      <c r="M88" s="287"/>
      <c r="N88" s="287"/>
      <c r="O88" s="287"/>
      <c r="P88" s="287"/>
      <c r="Q88" s="287"/>
      <c r="R88" s="280"/>
      <c r="S88" s="291"/>
      <c r="T88" s="291"/>
      <c r="U88" s="291"/>
      <c r="V88" s="16"/>
      <c r="W88" s="16"/>
      <c r="X88" s="16"/>
      <c r="Y88" s="16"/>
      <c r="Z88" s="16"/>
      <c r="AA88" s="16"/>
      <c r="AB88" s="16"/>
      <c r="AC88" s="16"/>
      <c r="AD88" s="16"/>
    </row>
    <row r="89" spans="1:30" s="8" customFormat="1" x14ac:dyDescent="0.35">
      <c r="A89" s="16"/>
      <c r="B89" s="16"/>
      <c r="C89" s="280"/>
      <c r="D89" s="280"/>
      <c r="E89" s="280"/>
      <c r="F89" s="280"/>
      <c r="G89" s="280"/>
      <c r="H89" s="280"/>
      <c r="I89" s="280"/>
      <c r="J89" s="280"/>
      <c r="K89" s="280"/>
      <c r="L89" s="287"/>
      <c r="M89" s="287"/>
      <c r="N89" s="287"/>
      <c r="O89" s="287"/>
      <c r="P89" s="287"/>
      <c r="Q89" s="287"/>
      <c r="R89" s="280"/>
      <c r="S89" s="291"/>
      <c r="T89" s="291"/>
      <c r="U89" s="291"/>
      <c r="V89" s="16"/>
      <c r="W89" s="16"/>
      <c r="X89" s="16"/>
      <c r="Y89" s="16"/>
      <c r="Z89" s="16"/>
      <c r="AA89" s="16"/>
      <c r="AB89" s="16"/>
      <c r="AC89" s="16"/>
      <c r="AD89" s="16"/>
    </row>
    <row r="90" spans="1:30" s="8" customFormat="1" x14ac:dyDescent="0.35">
      <c r="A90" s="16"/>
      <c r="B90" s="16"/>
      <c r="C90" s="280"/>
      <c r="D90" s="280"/>
      <c r="E90" s="280"/>
      <c r="F90" s="280"/>
      <c r="G90" s="280"/>
      <c r="H90" s="280"/>
      <c r="I90" s="280"/>
      <c r="J90" s="280"/>
      <c r="K90" s="280"/>
      <c r="L90" s="287"/>
      <c r="M90" s="287"/>
      <c r="N90" s="287"/>
      <c r="O90" s="287"/>
      <c r="P90" s="287"/>
      <c r="Q90" s="287"/>
      <c r="R90" s="280"/>
      <c r="S90" s="291"/>
      <c r="T90" s="291"/>
      <c r="U90" s="291"/>
      <c r="V90" s="16"/>
      <c r="W90" s="16"/>
      <c r="X90" s="16"/>
      <c r="Y90" s="16"/>
      <c r="Z90" s="16"/>
      <c r="AA90" s="16"/>
      <c r="AB90" s="16"/>
      <c r="AC90" s="16"/>
      <c r="AD90" s="16"/>
    </row>
    <row r="91" spans="1:30" s="8" customFormat="1" x14ac:dyDescent="0.35">
      <c r="A91" s="16"/>
      <c r="B91" s="16"/>
      <c r="C91" s="280"/>
      <c r="D91" s="280"/>
      <c r="E91" s="280"/>
      <c r="F91" s="280"/>
      <c r="G91" s="280"/>
      <c r="H91" s="280"/>
      <c r="I91" s="280"/>
      <c r="J91" s="280"/>
      <c r="K91" s="280"/>
      <c r="L91" s="287"/>
      <c r="M91" s="287"/>
      <c r="N91" s="287"/>
      <c r="O91" s="287"/>
      <c r="P91" s="287"/>
      <c r="Q91" s="287"/>
      <c r="R91" s="280"/>
      <c r="S91" s="291"/>
      <c r="T91" s="291"/>
      <c r="U91" s="291"/>
      <c r="V91" s="16"/>
      <c r="W91" s="16"/>
      <c r="X91" s="16"/>
      <c r="Y91" s="16"/>
      <c r="Z91" s="16"/>
      <c r="AA91" s="16"/>
      <c r="AB91" s="16"/>
      <c r="AC91" s="16"/>
      <c r="AD91" s="16"/>
    </row>
    <row r="92" spans="1:30" s="8" customFormat="1" x14ac:dyDescent="0.35">
      <c r="A92" s="16"/>
      <c r="B92" s="16"/>
      <c r="C92" s="280"/>
      <c r="D92" s="280"/>
      <c r="E92" s="280"/>
      <c r="F92" s="280"/>
      <c r="G92" s="280"/>
      <c r="H92" s="280"/>
      <c r="I92" s="280"/>
      <c r="J92" s="280"/>
      <c r="K92" s="280"/>
      <c r="L92" s="287"/>
      <c r="M92" s="287"/>
      <c r="N92" s="287"/>
      <c r="O92" s="287"/>
      <c r="P92" s="287"/>
      <c r="Q92" s="287"/>
      <c r="R92" s="280"/>
      <c r="S92" s="291"/>
      <c r="T92" s="291"/>
      <c r="U92" s="291"/>
      <c r="V92" s="16"/>
      <c r="W92" s="16"/>
      <c r="X92" s="16"/>
      <c r="Y92" s="16"/>
      <c r="Z92" s="16"/>
      <c r="AA92" s="16"/>
      <c r="AB92" s="16"/>
      <c r="AC92" s="16"/>
      <c r="AD92" s="16"/>
    </row>
    <row r="93" spans="1:30" s="8" customFormat="1" x14ac:dyDescent="0.35">
      <c r="A93" s="16"/>
      <c r="B93" s="16"/>
      <c r="C93" s="291"/>
      <c r="D93" s="291"/>
      <c r="E93" s="291"/>
      <c r="F93" s="291"/>
      <c r="G93" s="291"/>
      <c r="H93" s="291"/>
      <c r="I93" s="291"/>
      <c r="J93" s="291"/>
      <c r="K93" s="291"/>
      <c r="L93" s="292"/>
      <c r="M93" s="292"/>
      <c r="N93" s="292"/>
      <c r="O93" s="292"/>
      <c r="P93" s="292"/>
      <c r="Q93" s="292"/>
      <c r="R93" s="291"/>
      <c r="S93" s="291"/>
      <c r="T93" s="291"/>
      <c r="U93" s="291"/>
      <c r="V93" s="16"/>
      <c r="W93" s="16"/>
      <c r="X93" s="16"/>
      <c r="Y93" s="16"/>
      <c r="Z93" s="16"/>
      <c r="AA93" s="16"/>
      <c r="AB93" s="16"/>
      <c r="AC93" s="16"/>
      <c r="AD93" s="16"/>
    </row>
    <row r="94" spans="1:30" s="8" customFormat="1" x14ac:dyDescent="0.35">
      <c r="A94" s="16"/>
      <c r="B94" s="16"/>
      <c r="C94" s="291"/>
      <c r="D94" s="291"/>
      <c r="E94" s="291"/>
      <c r="F94" s="291"/>
      <c r="G94" s="291"/>
      <c r="H94" s="291"/>
      <c r="I94" s="291"/>
      <c r="J94" s="291"/>
      <c r="K94" s="291"/>
      <c r="L94" s="292"/>
      <c r="M94" s="292"/>
      <c r="N94" s="292"/>
      <c r="O94" s="292"/>
      <c r="P94" s="292"/>
      <c r="Q94" s="292"/>
      <c r="R94" s="291"/>
      <c r="S94" s="291"/>
      <c r="T94" s="291"/>
      <c r="U94" s="291"/>
      <c r="V94" s="16"/>
      <c r="W94" s="16"/>
      <c r="X94" s="16"/>
      <c r="Y94" s="16"/>
      <c r="Z94" s="16"/>
      <c r="AA94" s="16"/>
      <c r="AB94" s="16"/>
      <c r="AC94" s="16"/>
      <c r="AD94" s="16"/>
    </row>
    <row r="95" spans="1:30" s="8" customFormat="1" x14ac:dyDescent="0.35">
      <c r="A95" s="16"/>
      <c r="B95" s="16"/>
      <c r="C95" s="291"/>
      <c r="D95" s="291"/>
      <c r="E95" s="291"/>
      <c r="F95" s="291"/>
      <c r="G95" s="291"/>
      <c r="H95" s="291"/>
      <c r="I95" s="291"/>
      <c r="J95" s="291"/>
      <c r="K95" s="291"/>
      <c r="L95" s="292"/>
      <c r="M95" s="292"/>
      <c r="N95" s="292"/>
      <c r="O95" s="292"/>
      <c r="P95" s="292"/>
      <c r="Q95" s="292"/>
      <c r="R95" s="291"/>
      <c r="S95" s="291"/>
      <c r="T95" s="291"/>
      <c r="U95" s="291"/>
      <c r="V95" s="16"/>
      <c r="W95" s="16"/>
      <c r="X95" s="16"/>
      <c r="Y95" s="16"/>
      <c r="Z95" s="16"/>
      <c r="AA95" s="16"/>
      <c r="AB95" s="16"/>
      <c r="AC95" s="16"/>
      <c r="AD95" s="16"/>
    </row>
    <row r="96" spans="1:30" s="8" customFormat="1" x14ac:dyDescent="0.35">
      <c r="A96" s="16"/>
      <c r="B96" s="16"/>
      <c r="C96" s="291"/>
      <c r="D96" s="291"/>
      <c r="E96" s="291"/>
      <c r="F96" s="291"/>
      <c r="G96" s="291"/>
      <c r="H96" s="291"/>
      <c r="I96" s="291"/>
      <c r="J96" s="291"/>
      <c r="K96" s="291"/>
      <c r="L96" s="291"/>
      <c r="M96" s="291"/>
      <c r="N96" s="291"/>
      <c r="O96" s="291"/>
      <c r="P96" s="291"/>
      <c r="Q96" s="291"/>
      <c r="R96" s="291"/>
      <c r="S96" s="291"/>
      <c r="T96" s="291"/>
      <c r="U96" s="291"/>
      <c r="V96" s="16"/>
      <c r="W96" s="16"/>
      <c r="X96" s="16"/>
      <c r="Y96" s="16"/>
      <c r="Z96" s="16"/>
      <c r="AA96" s="16"/>
      <c r="AB96" s="16"/>
      <c r="AC96" s="16"/>
      <c r="AD96" s="16"/>
    </row>
    <row r="97" spans="1:30" s="8" customFormat="1" x14ac:dyDescent="0.35">
      <c r="A97" s="16"/>
      <c r="B97" s="16"/>
      <c r="C97" s="291"/>
      <c r="D97" s="291"/>
      <c r="E97" s="291"/>
      <c r="F97" s="291"/>
      <c r="G97" s="291"/>
      <c r="H97" s="291"/>
      <c r="I97" s="291"/>
      <c r="J97" s="291"/>
      <c r="K97" s="291"/>
      <c r="L97" s="291"/>
      <c r="M97" s="291"/>
      <c r="N97" s="291"/>
      <c r="O97" s="291"/>
      <c r="P97" s="291"/>
      <c r="Q97" s="291"/>
      <c r="R97" s="291"/>
      <c r="S97" s="291"/>
      <c r="T97" s="291"/>
      <c r="U97" s="291"/>
      <c r="V97" s="16"/>
      <c r="W97" s="16"/>
      <c r="X97" s="16"/>
      <c r="Y97" s="16"/>
      <c r="Z97" s="16"/>
      <c r="AA97" s="16"/>
      <c r="AB97" s="16"/>
      <c r="AC97" s="16"/>
      <c r="AD97" s="16"/>
    </row>
    <row r="98" spans="1:30" s="8" customFormat="1" x14ac:dyDescent="0.35">
      <c r="A98" s="16"/>
      <c r="B98" s="16"/>
      <c r="C98" s="291"/>
      <c r="D98" s="291"/>
      <c r="E98" s="291"/>
      <c r="F98" s="291"/>
      <c r="G98" s="291"/>
      <c r="H98" s="291"/>
      <c r="I98" s="291"/>
      <c r="J98" s="291"/>
      <c r="K98" s="291"/>
      <c r="L98" s="291"/>
      <c r="M98" s="291"/>
      <c r="N98" s="291"/>
      <c r="O98" s="291"/>
      <c r="P98" s="291"/>
      <c r="Q98" s="291"/>
      <c r="R98" s="291"/>
      <c r="S98" s="291"/>
      <c r="T98" s="291"/>
      <c r="U98" s="291"/>
      <c r="V98" s="16"/>
      <c r="W98" s="16"/>
      <c r="X98" s="16"/>
      <c r="Y98" s="16"/>
      <c r="Z98" s="16"/>
      <c r="AA98" s="16"/>
      <c r="AB98" s="16"/>
      <c r="AC98" s="16"/>
      <c r="AD98" s="16"/>
    </row>
    <row r="99" spans="1:30" s="8" customFormat="1" x14ac:dyDescent="0.35">
      <c r="A99" s="16"/>
      <c r="B99" s="16"/>
      <c r="C99" s="291"/>
      <c r="D99" s="291"/>
      <c r="E99" s="291"/>
      <c r="F99" s="291"/>
      <c r="G99" s="291"/>
      <c r="H99" s="291"/>
      <c r="I99" s="291"/>
      <c r="J99" s="291"/>
      <c r="K99" s="291"/>
      <c r="L99" s="291"/>
      <c r="M99" s="291"/>
      <c r="N99" s="291"/>
      <c r="O99" s="291"/>
      <c r="P99" s="291"/>
      <c r="Q99" s="291"/>
      <c r="R99" s="291"/>
      <c r="S99" s="291"/>
      <c r="T99" s="291"/>
      <c r="U99" s="291"/>
      <c r="V99" s="16"/>
      <c r="W99" s="16"/>
      <c r="X99" s="16"/>
      <c r="Y99" s="16"/>
      <c r="Z99" s="16"/>
      <c r="AA99" s="16"/>
      <c r="AB99" s="16"/>
      <c r="AC99" s="16"/>
      <c r="AD99" s="16"/>
    </row>
    <row r="100" spans="1:30" s="8" customFormat="1" x14ac:dyDescent="0.35">
      <c r="A100" s="16"/>
      <c r="B100" s="16"/>
      <c r="C100" s="291"/>
      <c r="D100" s="291"/>
      <c r="E100" s="291"/>
      <c r="F100" s="291"/>
      <c r="G100" s="291"/>
      <c r="H100" s="291"/>
      <c r="I100" s="291"/>
      <c r="J100" s="291"/>
      <c r="K100" s="291"/>
      <c r="L100" s="291"/>
      <c r="M100" s="291"/>
      <c r="N100" s="291"/>
      <c r="O100" s="291"/>
      <c r="P100" s="291"/>
      <c r="Q100" s="291"/>
      <c r="R100" s="291"/>
      <c r="S100" s="291"/>
      <c r="T100" s="291"/>
      <c r="U100" s="291"/>
      <c r="V100" s="16"/>
      <c r="W100" s="16"/>
      <c r="X100" s="16"/>
      <c r="Y100" s="16"/>
      <c r="Z100" s="16"/>
      <c r="AA100" s="16"/>
      <c r="AB100" s="16"/>
      <c r="AC100" s="16"/>
      <c r="AD100" s="16"/>
    </row>
    <row r="101" spans="1:30" s="8" customFormat="1" x14ac:dyDescent="0.35">
      <c r="A101" s="16"/>
      <c r="B101" s="16"/>
      <c r="C101" s="291"/>
      <c r="D101" s="291"/>
      <c r="E101" s="291"/>
      <c r="F101" s="291"/>
      <c r="G101" s="291"/>
      <c r="H101" s="291"/>
      <c r="I101" s="291"/>
      <c r="J101" s="291"/>
      <c r="K101" s="291"/>
      <c r="L101" s="291"/>
      <c r="M101" s="291"/>
      <c r="N101" s="291"/>
      <c r="O101" s="291"/>
      <c r="P101" s="291"/>
      <c r="Q101" s="291"/>
      <c r="R101" s="291"/>
      <c r="S101" s="291"/>
      <c r="T101" s="291"/>
      <c r="U101" s="291"/>
      <c r="V101" s="16"/>
      <c r="W101" s="16"/>
      <c r="X101" s="16"/>
      <c r="Y101" s="16"/>
      <c r="Z101" s="16"/>
      <c r="AA101" s="16"/>
      <c r="AB101" s="16"/>
      <c r="AC101" s="16"/>
      <c r="AD101" s="16"/>
    </row>
    <row r="102" spans="1:30" s="8" customFormat="1" x14ac:dyDescent="0.35">
      <c r="A102" s="16"/>
      <c r="B102" s="16"/>
      <c r="C102" s="291"/>
      <c r="D102" s="291"/>
      <c r="E102" s="291"/>
      <c r="F102" s="291"/>
      <c r="G102" s="291"/>
      <c r="H102" s="291"/>
      <c r="I102" s="291"/>
      <c r="J102" s="291"/>
      <c r="K102" s="291"/>
      <c r="L102" s="291"/>
      <c r="M102" s="291"/>
      <c r="N102" s="291"/>
      <c r="O102" s="291"/>
      <c r="P102" s="291"/>
      <c r="Q102" s="291"/>
      <c r="R102" s="291"/>
      <c r="S102" s="291"/>
      <c r="T102" s="291"/>
      <c r="U102" s="291"/>
      <c r="V102" s="16"/>
      <c r="W102" s="16"/>
      <c r="X102" s="16"/>
      <c r="Y102" s="16"/>
      <c r="Z102" s="16"/>
      <c r="AA102" s="16"/>
      <c r="AB102" s="16"/>
      <c r="AC102" s="16"/>
      <c r="AD102" s="16"/>
    </row>
    <row r="103" spans="1:30" s="8" customFormat="1" x14ac:dyDescent="0.35">
      <c r="A103" s="16"/>
      <c r="B103" s="16"/>
      <c r="C103" s="291"/>
      <c r="D103" s="291"/>
      <c r="E103" s="291"/>
      <c r="F103" s="291"/>
      <c r="G103" s="291"/>
      <c r="H103" s="291"/>
      <c r="I103" s="291"/>
      <c r="J103" s="291"/>
      <c r="K103" s="291"/>
      <c r="L103" s="291"/>
      <c r="M103" s="291"/>
      <c r="N103" s="291"/>
      <c r="O103" s="291"/>
      <c r="P103" s="291"/>
      <c r="Q103" s="291"/>
      <c r="R103" s="291"/>
      <c r="S103" s="291"/>
      <c r="T103" s="291"/>
      <c r="U103" s="291"/>
      <c r="V103" s="16"/>
      <c r="W103" s="16"/>
      <c r="X103" s="16"/>
      <c r="Y103" s="16"/>
      <c r="Z103" s="16"/>
      <c r="AA103" s="16"/>
      <c r="AB103" s="16"/>
      <c r="AC103" s="16"/>
      <c r="AD103" s="16"/>
    </row>
    <row r="104" spans="1:30" s="8" customFormat="1" x14ac:dyDescent="0.35">
      <c r="A104" s="16"/>
      <c r="B104" s="16"/>
      <c r="C104" s="291"/>
      <c r="D104" s="291"/>
      <c r="E104" s="291"/>
      <c r="F104" s="291"/>
      <c r="G104" s="291"/>
      <c r="H104" s="291"/>
      <c r="I104" s="291"/>
      <c r="J104" s="291"/>
      <c r="K104" s="291"/>
      <c r="L104" s="291"/>
      <c r="M104" s="291"/>
      <c r="N104" s="291"/>
      <c r="O104" s="291"/>
      <c r="P104" s="291"/>
      <c r="Q104" s="291"/>
      <c r="R104" s="291"/>
      <c r="S104" s="291"/>
      <c r="T104" s="291"/>
      <c r="U104" s="291"/>
      <c r="V104" s="16"/>
      <c r="W104" s="16"/>
      <c r="X104" s="16"/>
      <c r="Y104" s="16"/>
      <c r="Z104" s="16"/>
      <c r="AA104" s="16"/>
      <c r="AB104" s="16"/>
      <c r="AC104" s="16"/>
      <c r="AD104" s="16"/>
    </row>
    <row r="105" spans="1:30" s="8" customFormat="1" x14ac:dyDescent="0.35">
      <c r="A105" s="16"/>
      <c r="B105" s="16"/>
      <c r="C105" s="291"/>
      <c r="D105" s="291"/>
      <c r="E105" s="291"/>
      <c r="F105" s="291"/>
      <c r="G105" s="291"/>
      <c r="H105" s="291"/>
      <c r="I105" s="291"/>
      <c r="J105" s="291"/>
      <c r="K105" s="291"/>
      <c r="L105" s="291"/>
      <c r="M105" s="291"/>
      <c r="N105" s="291"/>
      <c r="O105" s="291"/>
      <c r="P105" s="291"/>
      <c r="Q105" s="291"/>
      <c r="R105" s="291"/>
      <c r="S105" s="291"/>
      <c r="T105" s="291"/>
      <c r="U105" s="291"/>
      <c r="V105" s="16"/>
      <c r="W105" s="16"/>
      <c r="X105" s="16"/>
      <c r="Y105" s="16"/>
      <c r="Z105" s="16"/>
      <c r="AA105" s="16"/>
      <c r="AB105" s="16"/>
      <c r="AC105" s="16"/>
      <c r="AD105" s="16"/>
    </row>
    <row r="106" spans="1:30" s="8" customFormat="1" x14ac:dyDescent="0.35">
      <c r="A106" s="16"/>
      <c r="B106" s="16"/>
      <c r="C106" s="291"/>
      <c r="D106" s="291"/>
      <c r="E106" s="291"/>
      <c r="F106" s="291"/>
      <c r="G106" s="291"/>
      <c r="H106" s="291"/>
      <c r="I106" s="291"/>
      <c r="J106" s="291"/>
      <c r="K106" s="291"/>
      <c r="L106" s="291"/>
      <c r="M106" s="291"/>
      <c r="N106" s="291"/>
      <c r="O106" s="291"/>
      <c r="P106" s="291"/>
      <c r="Q106" s="291"/>
      <c r="R106" s="291"/>
      <c r="S106" s="291"/>
      <c r="T106" s="291"/>
      <c r="U106" s="291"/>
      <c r="V106" s="16"/>
      <c r="W106" s="16"/>
      <c r="X106" s="16"/>
      <c r="Y106" s="16"/>
      <c r="Z106" s="16"/>
      <c r="AA106" s="16"/>
      <c r="AB106" s="16"/>
      <c r="AC106" s="16"/>
      <c r="AD106" s="16"/>
    </row>
    <row r="107" spans="1:30" s="8" customFormat="1" x14ac:dyDescent="0.35">
      <c r="A107" s="16"/>
      <c r="B107" s="16"/>
      <c r="C107" s="291"/>
      <c r="D107" s="291"/>
      <c r="E107" s="291"/>
      <c r="F107" s="291"/>
      <c r="G107" s="291"/>
      <c r="H107" s="291"/>
      <c r="I107" s="291"/>
      <c r="J107" s="291"/>
      <c r="K107" s="291"/>
      <c r="L107" s="291"/>
      <c r="M107" s="291"/>
      <c r="N107" s="291"/>
      <c r="O107" s="291"/>
      <c r="P107" s="291"/>
      <c r="Q107" s="291"/>
      <c r="R107" s="291"/>
      <c r="S107" s="291"/>
      <c r="T107" s="291"/>
      <c r="U107" s="291"/>
      <c r="V107" s="16"/>
      <c r="W107" s="16"/>
      <c r="X107" s="16"/>
      <c r="Y107" s="16"/>
      <c r="Z107" s="16"/>
      <c r="AA107" s="16"/>
      <c r="AB107" s="16"/>
      <c r="AC107" s="16"/>
      <c r="AD107" s="16"/>
    </row>
    <row r="108" spans="1:30" s="8" customFormat="1" x14ac:dyDescent="0.35">
      <c r="A108" s="16"/>
      <c r="B108" s="16"/>
      <c r="C108" s="291"/>
      <c r="D108" s="291"/>
      <c r="E108" s="291"/>
      <c r="F108" s="291"/>
      <c r="G108" s="291"/>
      <c r="H108" s="291"/>
      <c r="I108" s="291"/>
      <c r="J108" s="291"/>
      <c r="K108" s="291"/>
      <c r="L108" s="291"/>
      <c r="M108" s="291"/>
      <c r="N108" s="291"/>
      <c r="O108" s="291"/>
      <c r="P108" s="291"/>
      <c r="Q108" s="291"/>
      <c r="R108" s="291"/>
      <c r="S108" s="291"/>
      <c r="T108" s="291"/>
      <c r="U108" s="291"/>
      <c r="V108" s="16"/>
      <c r="W108" s="16"/>
      <c r="X108" s="16"/>
      <c r="Y108" s="16"/>
      <c r="Z108" s="16"/>
      <c r="AA108" s="16"/>
      <c r="AB108" s="16"/>
      <c r="AC108" s="16"/>
      <c r="AD108" s="16"/>
    </row>
    <row r="109" spans="1:30" s="8" customFormat="1" x14ac:dyDescent="0.35">
      <c r="A109" s="16"/>
      <c r="B109" s="16"/>
      <c r="C109" s="291"/>
      <c r="D109" s="291"/>
      <c r="E109" s="291"/>
      <c r="F109" s="291"/>
      <c r="G109" s="291"/>
      <c r="H109" s="291"/>
      <c r="I109" s="291"/>
      <c r="J109" s="291"/>
      <c r="K109" s="291"/>
      <c r="L109" s="291"/>
      <c r="M109" s="291"/>
      <c r="N109" s="291"/>
      <c r="O109" s="291"/>
      <c r="P109" s="291"/>
      <c r="Q109" s="291"/>
      <c r="R109" s="291"/>
      <c r="S109" s="291"/>
      <c r="T109" s="291"/>
      <c r="U109" s="291"/>
      <c r="V109" s="16"/>
      <c r="W109" s="16"/>
      <c r="X109" s="16"/>
      <c r="Y109" s="16"/>
      <c r="Z109" s="16"/>
      <c r="AA109" s="16"/>
      <c r="AB109" s="16"/>
      <c r="AC109" s="16"/>
      <c r="AD109" s="16"/>
    </row>
    <row r="110" spans="1:30" s="8" customFormat="1" x14ac:dyDescent="0.35">
      <c r="A110" s="16"/>
      <c r="B110" s="16"/>
      <c r="C110" s="291"/>
      <c r="D110" s="291"/>
      <c r="E110" s="291"/>
      <c r="F110" s="291"/>
      <c r="G110" s="291"/>
      <c r="H110" s="291"/>
      <c r="I110" s="291"/>
      <c r="J110" s="291"/>
      <c r="K110" s="291"/>
      <c r="L110" s="291"/>
      <c r="M110" s="291"/>
      <c r="N110" s="291"/>
      <c r="O110" s="291"/>
      <c r="P110" s="291"/>
      <c r="Q110" s="291"/>
      <c r="R110" s="291"/>
      <c r="S110" s="291"/>
      <c r="T110" s="291"/>
      <c r="U110" s="291"/>
      <c r="V110" s="16"/>
      <c r="W110" s="16"/>
      <c r="X110" s="16"/>
      <c r="Y110" s="16"/>
      <c r="Z110" s="16"/>
      <c r="AA110" s="16"/>
      <c r="AB110" s="16"/>
      <c r="AC110" s="16"/>
      <c r="AD110" s="16"/>
    </row>
    <row r="111" spans="1:30" s="8" customFormat="1" x14ac:dyDescent="0.35">
      <c r="A111" s="16"/>
      <c r="B111" s="16"/>
      <c r="C111" s="291"/>
      <c r="D111" s="291"/>
      <c r="E111" s="291"/>
      <c r="F111" s="291"/>
      <c r="G111" s="291"/>
      <c r="H111" s="291"/>
      <c r="I111" s="291"/>
      <c r="J111" s="291"/>
      <c r="K111" s="291"/>
      <c r="L111" s="291"/>
      <c r="M111" s="291"/>
      <c r="N111" s="291"/>
      <c r="O111" s="291"/>
      <c r="P111" s="291"/>
      <c r="Q111" s="291"/>
      <c r="R111" s="291"/>
      <c r="S111" s="291"/>
      <c r="T111" s="291"/>
      <c r="U111" s="291"/>
      <c r="V111" s="16"/>
      <c r="W111" s="16"/>
      <c r="X111" s="16"/>
      <c r="Y111" s="16"/>
      <c r="Z111" s="16"/>
      <c r="AA111" s="16"/>
      <c r="AB111" s="16"/>
      <c r="AC111" s="16"/>
      <c r="AD111" s="16"/>
    </row>
    <row r="112" spans="1:30" s="8" customFormat="1" x14ac:dyDescent="0.35">
      <c r="A112" s="16"/>
      <c r="B112" s="16"/>
      <c r="C112" s="291"/>
      <c r="D112" s="291"/>
      <c r="E112" s="291"/>
      <c r="F112" s="291"/>
      <c r="G112" s="291"/>
      <c r="H112" s="291"/>
      <c r="I112" s="291"/>
      <c r="J112" s="291"/>
      <c r="K112" s="291"/>
      <c r="L112" s="291"/>
      <c r="M112" s="291"/>
      <c r="N112" s="291"/>
      <c r="O112" s="291"/>
      <c r="P112" s="291"/>
      <c r="Q112" s="291"/>
      <c r="R112" s="291"/>
      <c r="S112" s="291"/>
      <c r="T112" s="291"/>
      <c r="U112" s="291"/>
      <c r="V112" s="16"/>
      <c r="W112" s="16"/>
      <c r="X112" s="16"/>
      <c r="Y112" s="16"/>
      <c r="Z112" s="16"/>
      <c r="AA112" s="16"/>
      <c r="AB112" s="16"/>
      <c r="AC112" s="16"/>
      <c r="AD112" s="16"/>
    </row>
    <row r="113" spans="1:30" s="8" customFormat="1" x14ac:dyDescent="0.35">
      <c r="A113" s="16"/>
      <c r="B113" s="16"/>
      <c r="C113" s="291"/>
      <c r="D113" s="291"/>
      <c r="E113" s="291"/>
      <c r="F113" s="291"/>
      <c r="G113" s="291"/>
      <c r="H113" s="291"/>
      <c r="I113" s="291"/>
      <c r="J113" s="291"/>
      <c r="K113" s="291"/>
      <c r="L113" s="291"/>
      <c r="M113" s="291"/>
      <c r="N113" s="291"/>
      <c r="O113" s="291"/>
      <c r="P113" s="291"/>
      <c r="Q113" s="291"/>
      <c r="R113" s="291"/>
      <c r="S113" s="291"/>
      <c r="T113" s="291"/>
      <c r="U113" s="291"/>
      <c r="V113" s="16"/>
      <c r="W113" s="16"/>
      <c r="X113" s="16"/>
      <c r="Y113" s="16"/>
      <c r="Z113" s="16"/>
      <c r="AA113" s="16"/>
      <c r="AB113" s="16"/>
      <c r="AC113" s="16"/>
      <c r="AD113" s="16"/>
    </row>
    <row r="114" spans="1:30" s="8" customFormat="1" x14ac:dyDescent="0.35">
      <c r="A114" s="16"/>
      <c r="B114" s="16"/>
      <c r="C114" s="291"/>
      <c r="D114" s="291"/>
      <c r="E114" s="291"/>
      <c r="F114" s="291"/>
      <c r="G114" s="291"/>
      <c r="H114" s="291"/>
      <c r="I114" s="291"/>
      <c r="J114" s="291"/>
      <c r="K114" s="291"/>
      <c r="L114" s="291"/>
      <c r="M114" s="291"/>
      <c r="N114" s="291"/>
      <c r="O114" s="291"/>
      <c r="P114" s="291"/>
      <c r="Q114" s="291"/>
      <c r="R114" s="291"/>
      <c r="S114" s="291"/>
      <c r="T114" s="291"/>
      <c r="U114" s="291"/>
      <c r="V114" s="16"/>
      <c r="W114" s="16"/>
      <c r="X114" s="16"/>
      <c r="Y114" s="16"/>
      <c r="Z114" s="16"/>
      <c r="AA114" s="16"/>
      <c r="AB114" s="16"/>
      <c r="AC114" s="16"/>
      <c r="AD114" s="16"/>
    </row>
    <row r="115" spans="1:30" s="8" customFormat="1" x14ac:dyDescent="0.35">
      <c r="A115" s="16"/>
      <c r="B115" s="16"/>
      <c r="C115" s="291"/>
      <c r="D115" s="291"/>
      <c r="E115" s="291"/>
      <c r="F115" s="291"/>
      <c r="G115" s="291"/>
      <c r="H115" s="291"/>
      <c r="I115" s="291"/>
      <c r="J115" s="291"/>
      <c r="K115" s="291"/>
      <c r="L115" s="291"/>
      <c r="M115" s="291"/>
      <c r="N115" s="291"/>
      <c r="O115" s="291"/>
      <c r="P115" s="291"/>
      <c r="Q115" s="291"/>
      <c r="R115" s="291"/>
      <c r="S115" s="291"/>
      <c r="T115" s="291"/>
      <c r="U115" s="291"/>
    </row>
    <row r="116" spans="1:30" s="8" customFormat="1" x14ac:dyDescent="0.35">
      <c r="A116" s="16"/>
      <c r="B116" s="16"/>
      <c r="C116" s="291"/>
      <c r="D116" s="291"/>
      <c r="E116" s="291"/>
      <c r="F116" s="291"/>
      <c r="G116" s="291"/>
      <c r="H116" s="291"/>
      <c r="I116" s="291"/>
      <c r="J116" s="291"/>
      <c r="K116" s="291"/>
      <c r="L116" s="291"/>
      <c r="M116" s="291"/>
      <c r="N116" s="291"/>
      <c r="O116" s="291"/>
      <c r="P116" s="291"/>
      <c r="Q116" s="291"/>
      <c r="R116" s="291"/>
      <c r="S116" s="291"/>
      <c r="T116" s="291"/>
      <c r="U116" s="291"/>
    </row>
    <row r="117" spans="1:30" s="8" customFormat="1" x14ac:dyDescent="0.35">
      <c r="A117" s="16"/>
      <c r="B117" s="16"/>
      <c r="C117" s="291"/>
      <c r="D117" s="291"/>
      <c r="E117" s="291"/>
      <c r="F117" s="291"/>
      <c r="G117" s="291"/>
      <c r="H117" s="291"/>
      <c r="I117" s="291"/>
      <c r="J117" s="291"/>
      <c r="K117" s="291"/>
      <c r="L117" s="291"/>
      <c r="M117" s="291"/>
      <c r="N117" s="291"/>
      <c r="O117" s="291"/>
      <c r="P117" s="291"/>
      <c r="Q117" s="291"/>
      <c r="R117" s="291"/>
      <c r="S117" s="291"/>
      <c r="T117" s="291"/>
      <c r="U117" s="291"/>
    </row>
    <row r="118" spans="1:30" s="8" customFormat="1" x14ac:dyDescent="0.35">
      <c r="A118" s="16"/>
      <c r="B118" s="16"/>
      <c r="C118" s="291"/>
      <c r="D118" s="291"/>
      <c r="E118" s="291"/>
      <c r="F118" s="291"/>
      <c r="G118" s="291"/>
      <c r="H118" s="291"/>
      <c r="I118" s="291"/>
      <c r="J118" s="291"/>
      <c r="K118" s="291"/>
      <c r="L118" s="291"/>
      <c r="M118" s="291"/>
      <c r="N118" s="291"/>
      <c r="O118" s="291"/>
      <c r="P118" s="291"/>
      <c r="Q118" s="291"/>
      <c r="R118" s="291"/>
      <c r="S118" s="291"/>
      <c r="T118" s="291"/>
      <c r="U118" s="291"/>
    </row>
    <row r="119" spans="1:30" s="8" customFormat="1" x14ac:dyDescent="0.35">
      <c r="A119" s="16"/>
      <c r="B119" s="16"/>
      <c r="C119" s="291"/>
      <c r="D119" s="291"/>
      <c r="E119" s="291"/>
      <c r="F119" s="291"/>
      <c r="G119" s="291"/>
      <c r="H119" s="291"/>
      <c r="I119" s="291"/>
      <c r="J119" s="291"/>
      <c r="K119" s="291"/>
      <c r="L119" s="291"/>
      <c r="M119" s="291"/>
      <c r="N119" s="291"/>
      <c r="O119" s="291"/>
      <c r="P119" s="291"/>
      <c r="Q119" s="291"/>
      <c r="R119" s="291"/>
      <c r="S119" s="291"/>
      <c r="T119" s="291"/>
      <c r="U119" s="291"/>
    </row>
    <row r="120" spans="1:30" s="8" customFormat="1" x14ac:dyDescent="0.35">
      <c r="A120" s="16"/>
      <c r="B120" s="16"/>
      <c r="C120" s="291"/>
      <c r="D120" s="291"/>
      <c r="E120" s="291"/>
      <c r="F120" s="291"/>
      <c r="G120" s="291"/>
      <c r="H120" s="291"/>
      <c r="I120" s="291"/>
      <c r="J120" s="291"/>
      <c r="K120" s="291"/>
      <c r="L120" s="291"/>
      <c r="M120" s="291"/>
      <c r="N120" s="291"/>
      <c r="O120" s="291"/>
      <c r="P120" s="291"/>
      <c r="Q120" s="291"/>
      <c r="R120" s="291"/>
      <c r="S120" s="291"/>
      <c r="T120" s="291"/>
      <c r="U120" s="291"/>
    </row>
    <row r="121" spans="1:30" s="8" customFormat="1" x14ac:dyDescent="0.35">
      <c r="A121" s="16"/>
      <c r="B121" s="16"/>
      <c r="C121" s="291"/>
      <c r="D121" s="291"/>
      <c r="E121" s="291"/>
      <c r="F121" s="291"/>
      <c r="G121" s="291"/>
      <c r="H121" s="291"/>
      <c r="I121" s="291"/>
      <c r="J121" s="291"/>
      <c r="K121" s="291"/>
      <c r="L121" s="291"/>
      <c r="M121" s="291"/>
      <c r="N121" s="291"/>
      <c r="O121" s="291"/>
      <c r="P121" s="291"/>
      <c r="Q121" s="291"/>
      <c r="R121" s="291"/>
      <c r="S121" s="291"/>
      <c r="T121" s="291"/>
      <c r="U121" s="291"/>
    </row>
    <row r="122" spans="1:30" s="8" customFormat="1" x14ac:dyDescent="0.35">
      <c r="A122" s="16"/>
      <c r="B122" s="16"/>
      <c r="C122" s="291"/>
      <c r="D122" s="291"/>
      <c r="E122" s="291"/>
      <c r="F122" s="291"/>
      <c r="G122" s="291"/>
      <c r="H122" s="291"/>
      <c r="I122" s="291"/>
      <c r="J122" s="291"/>
      <c r="K122" s="291"/>
      <c r="L122" s="291"/>
      <c r="M122" s="291"/>
      <c r="N122" s="291"/>
      <c r="O122" s="291"/>
      <c r="P122" s="291"/>
      <c r="Q122" s="291"/>
      <c r="R122" s="291"/>
      <c r="S122" s="291"/>
      <c r="T122" s="291"/>
      <c r="U122" s="291"/>
    </row>
    <row r="123" spans="1:30" s="8" customFormat="1" x14ac:dyDescent="0.35">
      <c r="A123" s="16"/>
      <c r="B123" s="16"/>
      <c r="C123" s="291"/>
      <c r="D123" s="291"/>
      <c r="E123" s="291"/>
      <c r="F123" s="291"/>
      <c r="G123" s="291"/>
      <c r="H123" s="291"/>
      <c r="I123" s="291"/>
      <c r="J123" s="291"/>
      <c r="K123" s="291"/>
      <c r="L123" s="291"/>
      <c r="M123" s="291"/>
      <c r="N123" s="291"/>
      <c r="O123" s="291"/>
      <c r="P123" s="291"/>
      <c r="Q123" s="291"/>
      <c r="R123" s="291"/>
      <c r="S123" s="291"/>
      <c r="T123" s="291"/>
      <c r="U123" s="291"/>
    </row>
    <row r="124" spans="1:30" s="8" customFormat="1" x14ac:dyDescent="0.35">
      <c r="A124" s="16"/>
      <c r="B124" s="16"/>
      <c r="C124" s="291"/>
      <c r="D124" s="291"/>
      <c r="E124" s="291"/>
      <c r="F124" s="291"/>
      <c r="G124" s="291"/>
      <c r="H124" s="291"/>
      <c r="I124" s="291"/>
      <c r="J124" s="291"/>
      <c r="K124" s="291"/>
      <c r="L124" s="291"/>
      <c r="M124" s="291"/>
      <c r="N124" s="291"/>
      <c r="O124" s="291"/>
      <c r="P124" s="291"/>
      <c r="Q124" s="291"/>
      <c r="R124" s="291"/>
      <c r="S124" s="291"/>
      <c r="T124" s="291"/>
      <c r="U124" s="291"/>
    </row>
    <row r="125" spans="1:30" s="8" customFormat="1" x14ac:dyDescent="0.35">
      <c r="A125" s="16"/>
      <c r="B125" s="16"/>
      <c r="C125" s="291"/>
      <c r="D125" s="291"/>
      <c r="E125" s="291"/>
      <c r="F125" s="291"/>
      <c r="G125" s="291"/>
      <c r="H125" s="291"/>
      <c r="I125" s="291"/>
      <c r="J125" s="291"/>
      <c r="K125" s="291"/>
      <c r="L125" s="291"/>
      <c r="M125" s="291"/>
      <c r="N125" s="291"/>
      <c r="O125" s="291"/>
      <c r="P125" s="291"/>
      <c r="Q125" s="291"/>
      <c r="R125" s="291"/>
      <c r="S125" s="291"/>
      <c r="T125" s="291"/>
      <c r="U125" s="291"/>
    </row>
    <row r="126" spans="1:30" s="8" customFormat="1" x14ac:dyDescent="0.35">
      <c r="A126" s="16"/>
      <c r="B126" s="16"/>
      <c r="C126" s="291"/>
      <c r="D126" s="291"/>
      <c r="E126" s="291"/>
      <c r="F126" s="291"/>
      <c r="G126" s="291"/>
      <c r="H126" s="291"/>
      <c r="I126" s="291"/>
      <c r="J126" s="291"/>
      <c r="K126" s="291"/>
      <c r="L126" s="291"/>
      <c r="M126" s="291"/>
      <c r="N126" s="291"/>
      <c r="O126" s="291"/>
      <c r="P126" s="291"/>
      <c r="Q126" s="291"/>
      <c r="R126" s="291"/>
      <c r="S126" s="291"/>
      <c r="T126" s="291"/>
      <c r="U126" s="291"/>
    </row>
    <row r="127" spans="1:30" s="8" customFormat="1" x14ac:dyDescent="0.35">
      <c r="A127" s="16"/>
      <c r="B127" s="16"/>
      <c r="C127" s="291"/>
      <c r="D127" s="291"/>
      <c r="E127" s="291"/>
      <c r="F127" s="291"/>
      <c r="G127" s="291"/>
      <c r="H127" s="291"/>
      <c r="I127" s="291"/>
      <c r="J127" s="291"/>
      <c r="K127" s="291"/>
      <c r="L127" s="291"/>
      <c r="M127" s="291"/>
      <c r="N127" s="291"/>
      <c r="O127" s="291"/>
      <c r="P127" s="291"/>
      <c r="Q127" s="291"/>
      <c r="R127" s="291"/>
      <c r="S127" s="291"/>
      <c r="T127" s="291"/>
      <c r="U127" s="291"/>
    </row>
    <row r="128" spans="1:30" s="8" customFormat="1" x14ac:dyDescent="0.35">
      <c r="A128" s="16"/>
      <c r="B128" s="16"/>
      <c r="C128" s="291"/>
      <c r="D128" s="291"/>
      <c r="E128" s="291"/>
      <c r="F128" s="291"/>
      <c r="G128" s="291"/>
      <c r="H128" s="291"/>
      <c r="I128" s="291"/>
      <c r="J128" s="291"/>
      <c r="K128" s="291"/>
      <c r="L128" s="291"/>
      <c r="M128" s="291"/>
      <c r="N128" s="291"/>
      <c r="O128" s="291"/>
      <c r="P128" s="291"/>
      <c r="Q128" s="291"/>
      <c r="R128" s="291"/>
      <c r="S128" s="291"/>
      <c r="T128" s="291"/>
      <c r="U128" s="291"/>
    </row>
    <row r="129" spans="1:21" s="8" customFormat="1" x14ac:dyDescent="0.35">
      <c r="A129" s="16"/>
      <c r="B129" s="16"/>
      <c r="C129" s="291"/>
      <c r="D129" s="291"/>
      <c r="E129" s="291"/>
      <c r="F129" s="291"/>
      <c r="G129" s="291"/>
      <c r="H129" s="291"/>
      <c r="I129" s="291"/>
      <c r="J129" s="291"/>
      <c r="K129" s="291"/>
      <c r="L129" s="291"/>
      <c r="M129" s="291"/>
      <c r="N129" s="291"/>
      <c r="O129" s="291"/>
      <c r="P129" s="291"/>
      <c r="Q129" s="291"/>
      <c r="R129" s="291"/>
      <c r="S129" s="291"/>
      <c r="T129" s="291"/>
      <c r="U129" s="291"/>
    </row>
    <row r="130" spans="1:21" s="8" customFormat="1" x14ac:dyDescent="0.35">
      <c r="A130" s="16"/>
      <c r="B130" s="16"/>
      <c r="C130" s="291"/>
      <c r="D130" s="291"/>
      <c r="E130" s="291"/>
      <c r="F130" s="291"/>
      <c r="G130" s="291"/>
      <c r="H130" s="291"/>
      <c r="I130" s="291"/>
      <c r="J130" s="291"/>
      <c r="K130" s="291"/>
      <c r="L130" s="291"/>
      <c r="M130" s="291"/>
      <c r="N130" s="291"/>
      <c r="O130" s="291"/>
      <c r="P130" s="291"/>
      <c r="Q130" s="291"/>
      <c r="R130" s="291"/>
      <c r="S130" s="291"/>
      <c r="T130" s="291"/>
      <c r="U130" s="291"/>
    </row>
    <row r="131" spans="1:21" s="8" customFormat="1" x14ac:dyDescent="0.35">
      <c r="A131" s="16"/>
      <c r="B131" s="16"/>
      <c r="C131" s="291"/>
      <c r="D131" s="291"/>
      <c r="E131" s="291"/>
      <c r="F131" s="291"/>
      <c r="G131" s="291"/>
      <c r="H131" s="291"/>
      <c r="I131" s="291"/>
      <c r="J131" s="291"/>
      <c r="K131" s="291"/>
      <c r="L131" s="291"/>
      <c r="M131" s="291"/>
      <c r="N131" s="291"/>
      <c r="O131" s="291"/>
      <c r="P131" s="291"/>
      <c r="Q131" s="291"/>
      <c r="R131" s="291"/>
      <c r="S131" s="291"/>
      <c r="T131" s="291"/>
      <c r="U131" s="291"/>
    </row>
    <row r="132" spans="1:21" s="8" customFormat="1" x14ac:dyDescent="0.35">
      <c r="A132" s="16"/>
      <c r="B132" s="16"/>
      <c r="C132" s="291"/>
      <c r="D132" s="291"/>
      <c r="E132" s="291"/>
      <c r="F132" s="291"/>
      <c r="G132" s="291"/>
      <c r="H132" s="291"/>
      <c r="I132" s="291"/>
      <c r="J132" s="291"/>
      <c r="K132" s="291"/>
      <c r="L132" s="291"/>
      <c r="M132" s="291"/>
      <c r="N132" s="291"/>
      <c r="O132" s="291"/>
      <c r="P132" s="291"/>
      <c r="Q132" s="291"/>
      <c r="R132" s="291"/>
      <c r="S132" s="291"/>
      <c r="T132" s="291"/>
      <c r="U132" s="291"/>
    </row>
    <row r="133" spans="1:21" s="8" customFormat="1" x14ac:dyDescent="0.35">
      <c r="A133" s="16"/>
      <c r="B133" s="16"/>
      <c r="C133" s="291"/>
      <c r="D133" s="291"/>
      <c r="E133" s="291"/>
      <c r="F133" s="291"/>
      <c r="G133" s="291"/>
      <c r="H133" s="291"/>
      <c r="I133" s="291"/>
      <c r="J133" s="291"/>
      <c r="K133" s="291"/>
      <c r="L133" s="291"/>
      <c r="M133" s="291"/>
      <c r="N133" s="291"/>
      <c r="O133" s="291"/>
      <c r="P133" s="291"/>
      <c r="Q133" s="291"/>
      <c r="R133" s="291"/>
      <c r="S133" s="291"/>
      <c r="T133" s="291"/>
      <c r="U133" s="291"/>
    </row>
    <row r="134" spans="1:21" s="8" customFormat="1" x14ac:dyDescent="0.35">
      <c r="A134" s="16"/>
      <c r="B134" s="16"/>
      <c r="C134" s="291"/>
      <c r="D134" s="291"/>
      <c r="E134" s="291"/>
      <c r="F134" s="291"/>
      <c r="G134" s="291"/>
      <c r="H134" s="291"/>
      <c r="I134" s="291"/>
      <c r="J134" s="291"/>
      <c r="K134" s="291"/>
      <c r="L134" s="291"/>
      <c r="M134" s="291"/>
      <c r="N134" s="291"/>
      <c r="O134" s="291"/>
      <c r="P134" s="291"/>
      <c r="Q134" s="291"/>
      <c r="R134" s="291"/>
      <c r="S134" s="291"/>
      <c r="T134" s="291"/>
      <c r="U134" s="291"/>
    </row>
    <row r="135" spans="1:21" s="8" customFormat="1" x14ac:dyDescent="0.35">
      <c r="A135" s="16"/>
      <c r="B135" s="16"/>
      <c r="C135" s="291"/>
      <c r="D135" s="291"/>
      <c r="E135" s="291"/>
      <c r="F135" s="291"/>
      <c r="G135" s="291"/>
      <c r="H135" s="291"/>
      <c r="I135" s="291"/>
      <c r="J135" s="291"/>
      <c r="K135" s="291"/>
      <c r="L135" s="291"/>
      <c r="M135" s="291"/>
      <c r="N135" s="291"/>
      <c r="O135" s="291"/>
      <c r="P135" s="291"/>
      <c r="Q135" s="291"/>
      <c r="R135" s="291"/>
      <c r="S135" s="291"/>
      <c r="T135" s="291"/>
      <c r="U135" s="291"/>
    </row>
    <row r="136" spans="1:21" s="8" customFormat="1" x14ac:dyDescent="0.35">
      <c r="A136" s="16"/>
      <c r="B136" s="16"/>
      <c r="C136" s="291"/>
      <c r="D136" s="291"/>
      <c r="E136" s="291"/>
      <c r="F136" s="291"/>
      <c r="G136" s="291"/>
      <c r="H136" s="291"/>
      <c r="I136" s="291"/>
      <c r="J136" s="291"/>
      <c r="K136" s="291"/>
      <c r="L136" s="291"/>
      <c r="M136" s="291"/>
      <c r="N136" s="291"/>
      <c r="O136" s="291"/>
      <c r="P136" s="291"/>
      <c r="Q136" s="291"/>
      <c r="R136" s="291"/>
      <c r="S136" s="291"/>
      <c r="T136" s="291"/>
      <c r="U136" s="291"/>
    </row>
    <row r="137" spans="1:21" s="8" customFormat="1" x14ac:dyDescent="0.35">
      <c r="A137" s="16"/>
      <c r="B137" s="16"/>
      <c r="C137" s="291"/>
      <c r="D137" s="291"/>
      <c r="E137" s="291"/>
      <c r="F137" s="291"/>
      <c r="G137" s="291"/>
      <c r="H137" s="291"/>
      <c r="I137" s="291"/>
      <c r="J137" s="291"/>
      <c r="K137" s="291"/>
      <c r="L137" s="291"/>
      <c r="M137" s="291"/>
      <c r="N137" s="291"/>
      <c r="O137" s="291"/>
      <c r="P137" s="291"/>
      <c r="Q137" s="291"/>
      <c r="R137" s="291"/>
      <c r="S137" s="291"/>
      <c r="T137" s="291"/>
      <c r="U137" s="291"/>
    </row>
    <row r="138" spans="1:21" s="8" customFormat="1" x14ac:dyDescent="0.35">
      <c r="A138" s="16"/>
      <c r="B138" s="16"/>
      <c r="C138" s="291"/>
      <c r="D138" s="291"/>
      <c r="E138" s="291"/>
      <c r="F138" s="291"/>
      <c r="G138" s="291"/>
      <c r="H138" s="291"/>
      <c r="I138" s="291"/>
      <c r="J138" s="291"/>
      <c r="K138" s="291"/>
      <c r="L138" s="291"/>
      <c r="M138" s="291"/>
      <c r="N138" s="291"/>
      <c r="O138" s="291"/>
      <c r="P138" s="291"/>
      <c r="Q138" s="291"/>
      <c r="R138" s="291"/>
      <c r="S138" s="291"/>
      <c r="T138" s="291"/>
      <c r="U138" s="291"/>
    </row>
    <row r="139" spans="1:21" s="8" customFormat="1" x14ac:dyDescent="0.35">
      <c r="A139" s="16"/>
      <c r="B139" s="16"/>
      <c r="C139" s="291"/>
      <c r="D139" s="291"/>
      <c r="E139" s="291"/>
      <c r="F139" s="291"/>
      <c r="G139" s="291"/>
      <c r="H139" s="291"/>
      <c r="I139" s="291"/>
      <c r="J139" s="291"/>
      <c r="K139" s="291"/>
      <c r="L139" s="291"/>
      <c r="M139" s="291"/>
      <c r="N139" s="291"/>
      <c r="O139" s="291"/>
      <c r="P139" s="291"/>
      <c r="Q139" s="291"/>
      <c r="R139" s="291"/>
      <c r="S139" s="291"/>
      <c r="T139" s="291"/>
      <c r="U139" s="291"/>
    </row>
    <row r="140" spans="1:21" s="8" customFormat="1" x14ac:dyDescent="0.35">
      <c r="A140" s="16"/>
      <c r="B140" s="16"/>
      <c r="C140" s="291"/>
      <c r="D140" s="291"/>
      <c r="E140" s="291"/>
      <c r="F140" s="291"/>
      <c r="G140" s="291"/>
      <c r="H140" s="291"/>
      <c r="I140" s="291"/>
      <c r="J140" s="291"/>
      <c r="K140" s="291"/>
      <c r="L140" s="291"/>
      <c r="M140" s="291"/>
      <c r="N140" s="291"/>
      <c r="O140" s="291"/>
      <c r="P140" s="291"/>
      <c r="Q140" s="291"/>
      <c r="R140" s="291"/>
      <c r="S140" s="291"/>
      <c r="T140" s="291"/>
      <c r="U140" s="291"/>
    </row>
    <row r="141" spans="1:21" s="8" customFormat="1" x14ac:dyDescent="0.35">
      <c r="A141" s="16"/>
      <c r="B141" s="16"/>
      <c r="C141" s="291"/>
      <c r="D141" s="291"/>
      <c r="E141" s="291"/>
      <c r="F141" s="291"/>
      <c r="G141" s="291"/>
      <c r="H141" s="291"/>
      <c r="I141" s="291"/>
      <c r="J141" s="291"/>
      <c r="K141" s="291"/>
      <c r="L141" s="291"/>
      <c r="M141" s="291"/>
      <c r="N141" s="291"/>
      <c r="O141" s="291"/>
      <c r="P141" s="291"/>
      <c r="Q141" s="291"/>
      <c r="R141" s="291"/>
      <c r="S141" s="291"/>
      <c r="T141" s="291"/>
      <c r="U141" s="291"/>
    </row>
    <row r="142" spans="1:21" s="8" customFormat="1" x14ac:dyDescent="0.35">
      <c r="A142" s="16"/>
      <c r="B142" s="16"/>
      <c r="C142" s="291"/>
      <c r="D142" s="291"/>
      <c r="E142" s="291"/>
      <c r="F142" s="291"/>
      <c r="G142" s="291"/>
      <c r="H142" s="291"/>
      <c r="I142" s="291"/>
      <c r="J142" s="291"/>
      <c r="K142" s="291"/>
      <c r="L142" s="291"/>
      <c r="M142" s="291"/>
      <c r="N142" s="291"/>
      <c r="O142" s="291"/>
      <c r="P142" s="291"/>
      <c r="Q142" s="291"/>
      <c r="R142" s="291"/>
      <c r="S142" s="291"/>
      <c r="T142" s="291"/>
      <c r="U142" s="291"/>
    </row>
    <row r="143" spans="1:21" s="8" customFormat="1" x14ac:dyDescent="0.35">
      <c r="A143" s="16"/>
      <c r="B143" s="16"/>
      <c r="C143" s="291"/>
      <c r="D143" s="291"/>
      <c r="E143" s="291"/>
      <c r="F143" s="291"/>
      <c r="G143" s="291"/>
      <c r="H143" s="291"/>
      <c r="I143" s="291"/>
      <c r="J143" s="291"/>
      <c r="K143" s="291"/>
      <c r="L143" s="291"/>
      <c r="M143" s="291"/>
      <c r="N143" s="291"/>
      <c r="O143" s="291"/>
      <c r="P143" s="291"/>
      <c r="Q143" s="291"/>
      <c r="R143" s="291"/>
      <c r="S143" s="291"/>
      <c r="T143" s="291"/>
      <c r="U143" s="291"/>
    </row>
    <row r="144" spans="1:21" s="8" customFormat="1" x14ac:dyDescent="0.35">
      <c r="A144" s="16"/>
      <c r="B144" s="16"/>
      <c r="C144" s="291"/>
      <c r="D144" s="291"/>
      <c r="E144" s="291"/>
      <c r="F144" s="291"/>
      <c r="G144" s="291"/>
      <c r="H144" s="291"/>
      <c r="I144" s="291"/>
      <c r="J144" s="291"/>
      <c r="K144" s="291"/>
      <c r="L144" s="291"/>
      <c r="M144" s="291"/>
      <c r="N144" s="291"/>
      <c r="O144" s="291"/>
      <c r="P144" s="291"/>
      <c r="Q144" s="291"/>
      <c r="R144" s="291"/>
      <c r="S144" s="291"/>
      <c r="T144" s="291"/>
      <c r="U144" s="291"/>
    </row>
    <row r="145" spans="1:21" s="8" customFormat="1" x14ac:dyDescent="0.35">
      <c r="A145" s="16"/>
      <c r="B145" s="16"/>
      <c r="C145" s="291"/>
      <c r="D145" s="291"/>
      <c r="E145" s="291"/>
      <c r="F145" s="291"/>
      <c r="G145" s="291"/>
      <c r="H145" s="291"/>
      <c r="I145" s="291"/>
      <c r="J145" s="291"/>
      <c r="K145" s="291"/>
      <c r="L145" s="291"/>
      <c r="M145" s="291"/>
      <c r="N145" s="291"/>
      <c r="O145" s="291"/>
      <c r="P145" s="291"/>
      <c r="Q145" s="291"/>
      <c r="R145" s="291"/>
      <c r="S145" s="291"/>
      <c r="T145" s="291"/>
      <c r="U145" s="291"/>
    </row>
    <row r="146" spans="1:21" s="8" customFormat="1" x14ac:dyDescent="0.35">
      <c r="A146" s="16"/>
      <c r="B146" s="16"/>
      <c r="C146" s="291"/>
      <c r="D146" s="291"/>
      <c r="E146" s="291"/>
      <c r="F146" s="291"/>
      <c r="G146" s="291"/>
      <c r="H146" s="291"/>
      <c r="I146" s="291"/>
      <c r="J146" s="291"/>
      <c r="K146" s="291"/>
      <c r="L146" s="291"/>
      <c r="M146" s="291"/>
      <c r="N146" s="291"/>
      <c r="O146" s="291"/>
      <c r="P146" s="291"/>
      <c r="Q146" s="291"/>
      <c r="R146" s="291"/>
      <c r="S146" s="291"/>
      <c r="T146" s="291"/>
      <c r="U146" s="291"/>
    </row>
    <row r="147" spans="1:21" s="8" customFormat="1" x14ac:dyDescent="0.35">
      <c r="A147" s="16"/>
      <c r="B147" s="16"/>
      <c r="C147" s="291"/>
      <c r="D147" s="291"/>
      <c r="E147" s="291"/>
      <c r="F147" s="291"/>
      <c r="G147" s="291"/>
      <c r="H147" s="291"/>
      <c r="I147" s="291"/>
      <c r="J147" s="291"/>
      <c r="K147" s="291"/>
      <c r="L147" s="291"/>
      <c r="M147" s="291"/>
      <c r="N147" s="291"/>
      <c r="O147" s="291"/>
      <c r="P147" s="291"/>
      <c r="Q147" s="291"/>
      <c r="R147" s="291"/>
      <c r="S147" s="291"/>
      <c r="T147" s="291"/>
      <c r="U147" s="291"/>
    </row>
    <row r="148" spans="1:21" s="8" customFormat="1" x14ac:dyDescent="0.35">
      <c r="A148" s="16"/>
      <c r="B148" s="16"/>
      <c r="C148" s="291"/>
      <c r="D148" s="291"/>
      <c r="E148" s="291"/>
      <c r="F148" s="291"/>
      <c r="G148" s="291"/>
      <c r="H148" s="291"/>
      <c r="I148" s="291"/>
      <c r="J148" s="291"/>
      <c r="K148" s="291"/>
      <c r="L148" s="291"/>
      <c r="M148" s="291"/>
      <c r="N148" s="291"/>
      <c r="O148" s="291"/>
      <c r="P148" s="291"/>
      <c r="Q148" s="291"/>
      <c r="R148" s="291"/>
      <c r="S148" s="291"/>
      <c r="T148" s="291"/>
      <c r="U148" s="291"/>
    </row>
    <row r="149" spans="1:21" s="8" customFormat="1" x14ac:dyDescent="0.35">
      <c r="A149" s="16"/>
      <c r="B149" s="16"/>
      <c r="C149" s="291"/>
      <c r="D149" s="291"/>
      <c r="E149" s="291"/>
      <c r="F149" s="291"/>
      <c r="G149" s="291"/>
      <c r="H149" s="291"/>
      <c r="I149" s="291"/>
      <c r="J149" s="291"/>
      <c r="K149" s="291"/>
      <c r="L149" s="291"/>
      <c r="M149" s="291"/>
      <c r="N149" s="291"/>
      <c r="O149" s="291"/>
      <c r="P149" s="291"/>
      <c r="Q149" s="291"/>
      <c r="R149" s="291"/>
      <c r="S149" s="291"/>
      <c r="T149" s="291"/>
      <c r="U149" s="291"/>
    </row>
    <row r="150" spans="1:21" s="8" customFormat="1" x14ac:dyDescent="0.35">
      <c r="A150" s="16"/>
      <c r="B150" s="16"/>
      <c r="C150" s="291"/>
      <c r="D150" s="291"/>
      <c r="E150" s="291"/>
      <c r="F150" s="291"/>
      <c r="G150" s="291"/>
      <c r="H150" s="291"/>
      <c r="I150" s="291"/>
      <c r="J150" s="291"/>
      <c r="K150" s="291"/>
      <c r="L150" s="291"/>
      <c r="M150" s="291"/>
      <c r="N150" s="291"/>
      <c r="O150" s="291"/>
      <c r="P150" s="291"/>
      <c r="Q150" s="291"/>
      <c r="R150" s="291"/>
      <c r="S150" s="291"/>
      <c r="T150" s="291"/>
      <c r="U150" s="291"/>
    </row>
    <row r="151" spans="1:21" s="8" customFormat="1" x14ac:dyDescent="0.35">
      <c r="A151" s="16"/>
      <c r="B151" s="16"/>
      <c r="C151" s="291"/>
      <c r="D151" s="291"/>
      <c r="E151" s="291"/>
      <c r="F151" s="291"/>
      <c r="G151" s="291"/>
      <c r="H151" s="291"/>
      <c r="I151" s="291"/>
      <c r="J151" s="291"/>
      <c r="K151" s="291"/>
      <c r="L151" s="291"/>
      <c r="M151" s="291"/>
      <c r="N151" s="291"/>
      <c r="O151" s="291"/>
      <c r="P151" s="291"/>
      <c r="Q151" s="291"/>
      <c r="R151" s="291"/>
      <c r="S151" s="291"/>
      <c r="T151" s="291"/>
      <c r="U151" s="291"/>
    </row>
    <row r="152" spans="1:21" s="8" customFormat="1" x14ac:dyDescent="0.35">
      <c r="A152" s="16"/>
      <c r="B152" s="16"/>
      <c r="C152" s="291"/>
      <c r="D152" s="291"/>
      <c r="E152" s="291"/>
      <c r="F152" s="291"/>
      <c r="G152" s="291"/>
      <c r="H152" s="291"/>
      <c r="I152" s="291"/>
      <c r="J152" s="291"/>
      <c r="K152" s="291"/>
      <c r="L152" s="291"/>
      <c r="M152" s="291"/>
      <c r="N152" s="291"/>
      <c r="O152" s="291"/>
      <c r="P152" s="291"/>
      <c r="Q152" s="291"/>
      <c r="R152" s="291"/>
      <c r="S152" s="291"/>
      <c r="T152" s="291"/>
      <c r="U152" s="291"/>
    </row>
    <row r="153" spans="1:21" s="8" customFormat="1" x14ac:dyDescent="0.35">
      <c r="A153" s="16"/>
      <c r="B153" s="16"/>
      <c r="C153" s="291"/>
      <c r="D153" s="291"/>
      <c r="E153" s="291"/>
      <c r="F153" s="291"/>
      <c r="G153" s="291"/>
      <c r="H153" s="291"/>
      <c r="I153" s="291"/>
      <c r="J153" s="291"/>
      <c r="K153" s="291"/>
      <c r="L153" s="291"/>
      <c r="M153" s="291"/>
      <c r="N153" s="291"/>
      <c r="O153" s="291"/>
      <c r="P153" s="291"/>
      <c r="Q153" s="291"/>
      <c r="R153" s="291"/>
      <c r="S153" s="291"/>
      <c r="T153" s="291"/>
      <c r="U153" s="291"/>
    </row>
    <row r="154" spans="1:21" s="8" customFormat="1" x14ac:dyDescent="0.35">
      <c r="A154" s="16"/>
      <c r="B154" s="16"/>
      <c r="C154" s="291"/>
      <c r="D154" s="291"/>
      <c r="E154" s="291"/>
      <c r="F154" s="291"/>
      <c r="G154" s="291"/>
      <c r="H154" s="291"/>
      <c r="I154" s="291"/>
      <c r="J154" s="291"/>
      <c r="K154" s="291"/>
      <c r="L154" s="291"/>
      <c r="M154" s="291"/>
      <c r="N154" s="291"/>
      <c r="O154" s="291"/>
      <c r="P154" s="291"/>
      <c r="Q154" s="291"/>
      <c r="R154" s="291"/>
      <c r="S154" s="291"/>
      <c r="T154" s="291"/>
      <c r="U154" s="291"/>
    </row>
    <row r="155" spans="1:21" s="8" customFormat="1" x14ac:dyDescent="0.35">
      <c r="A155" s="16"/>
      <c r="B155" s="16"/>
      <c r="C155" s="291"/>
      <c r="D155" s="291"/>
      <c r="E155" s="291"/>
      <c r="F155" s="291"/>
      <c r="G155" s="291"/>
      <c r="H155" s="291"/>
      <c r="I155" s="291"/>
      <c r="J155" s="291"/>
      <c r="K155" s="291"/>
      <c r="L155" s="291"/>
      <c r="M155" s="291"/>
      <c r="N155" s="291"/>
      <c r="O155" s="291"/>
      <c r="P155" s="291"/>
      <c r="Q155" s="291"/>
      <c r="R155" s="291"/>
      <c r="S155" s="291"/>
      <c r="T155" s="291"/>
      <c r="U155" s="291"/>
    </row>
    <row r="156" spans="1:21" s="8" customFormat="1" x14ac:dyDescent="0.35">
      <c r="A156" s="16"/>
      <c r="B156" s="16"/>
      <c r="C156" s="291"/>
      <c r="D156" s="291"/>
      <c r="E156" s="291"/>
      <c r="F156" s="291"/>
      <c r="G156" s="291"/>
      <c r="H156" s="291"/>
      <c r="I156" s="291"/>
      <c r="J156" s="291"/>
      <c r="K156" s="291"/>
      <c r="L156" s="291"/>
      <c r="M156" s="291"/>
      <c r="N156" s="291"/>
      <c r="O156" s="291"/>
      <c r="P156" s="291"/>
      <c r="Q156" s="291"/>
      <c r="R156" s="291"/>
      <c r="S156" s="291"/>
      <c r="T156" s="291"/>
      <c r="U156" s="291"/>
    </row>
    <row r="157" spans="1:21" s="8" customFormat="1" x14ac:dyDescent="0.35">
      <c r="A157" s="16"/>
      <c r="B157" s="16"/>
      <c r="C157" s="291"/>
      <c r="D157" s="291"/>
      <c r="E157" s="291"/>
      <c r="F157" s="291"/>
      <c r="G157" s="291"/>
      <c r="H157" s="291"/>
      <c r="I157" s="291"/>
      <c r="J157" s="291"/>
      <c r="K157" s="291"/>
      <c r="L157" s="291"/>
      <c r="M157" s="291"/>
      <c r="N157" s="291"/>
      <c r="O157" s="291"/>
      <c r="P157" s="291"/>
      <c r="Q157" s="291"/>
      <c r="R157" s="291"/>
      <c r="S157" s="291"/>
      <c r="T157" s="291"/>
      <c r="U157" s="291"/>
    </row>
    <row r="158" spans="1:21" s="8" customFormat="1" x14ac:dyDescent="0.35">
      <c r="A158" s="16"/>
      <c r="B158" s="16"/>
      <c r="C158" s="291"/>
      <c r="D158" s="291"/>
      <c r="E158" s="291"/>
      <c r="F158" s="291"/>
      <c r="G158" s="291"/>
      <c r="H158" s="291"/>
      <c r="I158" s="291"/>
      <c r="J158" s="291"/>
      <c r="K158" s="291"/>
      <c r="L158" s="291"/>
      <c r="M158" s="291"/>
      <c r="N158" s="291"/>
      <c r="O158" s="291"/>
      <c r="P158" s="291"/>
      <c r="Q158" s="291"/>
      <c r="R158" s="291"/>
      <c r="S158" s="291"/>
      <c r="T158" s="291"/>
      <c r="U158" s="291"/>
    </row>
    <row r="159" spans="1:21" s="8" customFormat="1" x14ac:dyDescent="0.35">
      <c r="A159" s="16"/>
      <c r="B159" s="16"/>
      <c r="C159" s="291"/>
      <c r="D159" s="291"/>
      <c r="E159" s="291"/>
      <c r="F159" s="291"/>
      <c r="G159" s="291"/>
      <c r="H159" s="291"/>
      <c r="I159" s="291"/>
      <c r="J159" s="291"/>
      <c r="K159" s="291"/>
      <c r="L159" s="291"/>
      <c r="M159" s="291"/>
      <c r="N159" s="291"/>
      <c r="O159" s="291"/>
      <c r="P159" s="291"/>
      <c r="Q159" s="291"/>
      <c r="R159" s="291"/>
      <c r="S159" s="291"/>
      <c r="T159" s="291"/>
      <c r="U159" s="291"/>
    </row>
    <row r="160" spans="1:21" s="8" customFormat="1" x14ac:dyDescent="0.35">
      <c r="A160" s="16"/>
      <c r="B160" s="16"/>
      <c r="C160" s="291"/>
      <c r="D160" s="291"/>
      <c r="E160" s="291"/>
      <c r="F160" s="291"/>
      <c r="G160" s="291"/>
      <c r="H160" s="291"/>
      <c r="I160" s="291"/>
      <c r="J160" s="291"/>
      <c r="K160" s="291"/>
      <c r="L160" s="291"/>
      <c r="M160" s="291"/>
      <c r="N160" s="291"/>
      <c r="O160" s="291"/>
      <c r="P160" s="291"/>
      <c r="Q160" s="291"/>
      <c r="R160" s="291"/>
      <c r="S160" s="291"/>
      <c r="T160" s="291"/>
      <c r="U160" s="291"/>
    </row>
    <row r="161" spans="1:21" s="8" customFormat="1" x14ac:dyDescent="0.35">
      <c r="A161" s="16"/>
      <c r="B161" s="16"/>
      <c r="C161" s="291"/>
      <c r="D161" s="291"/>
      <c r="E161" s="291"/>
      <c r="F161" s="291"/>
      <c r="G161" s="291"/>
      <c r="H161" s="291"/>
      <c r="I161" s="291"/>
      <c r="J161" s="291"/>
      <c r="K161" s="291"/>
      <c r="L161" s="291"/>
      <c r="M161" s="291"/>
      <c r="N161" s="291"/>
      <c r="O161" s="291"/>
      <c r="P161" s="291"/>
      <c r="Q161" s="291"/>
      <c r="R161" s="291"/>
      <c r="S161" s="291"/>
      <c r="T161" s="291"/>
      <c r="U161" s="291"/>
    </row>
    <row r="162" spans="1:21" s="8" customFormat="1" x14ac:dyDescent="0.35">
      <c r="A162" s="16"/>
      <c r="B162" s="16"/>
      <c r="C162" s="291"/>
      <c r="D162" s="291"/>
      <c r="E162" s="291"/>
      <c r="F162" s="291"/>
      <c r="G162" s="291"/>
      <c r="H162" s="291"/>
      <c r="I162" s="291"/>
      <c r="J162" s="291"/>
      <c r="K162" s="291"/>
      <c r="L162" s="291"/>
      <c r="M162" s="291"/>
      <c r="N162" s="291"/>
      <c r="O162" s="291"/>
      <c r="P162" s="291"/>
      <c r="Q162" s="291"/>
      <c r="R162" s="291"/>
      <c r="S162" s="291"/>
      <c r="T162" s="291"/>
      <c r="U162" s="291"/>
    </row>
    <row r="163" spans="1:21" s="8" customFormat="1" x14ac:dyDescent="0.35">
      <c r="A163" s="16"/>
      <c r="B163" s="16"/>
      <c r="C163" s="291"/>
      <c r="D163" s="291"/>
      <c r="E163" s="291"/>
      <c r="F163" s="291"/>
      <c r="G163" s="291"/>
      <c r="H163" s="291"/>
      <c r="I163" s="291"/>
      <c r="J163" s="291"/>
      <c r="K163" s="291"/>
      <c r="L163" s="291"/>
      <c r="M163" s="291"/>
      <c r="N163" s="291"/>
      <c r="O163" s="291"/>
      <c r="P163" s="291"/>
      <c r="Q163" s="291"/>
      <c r="R163" s="291"/>
      <c r="S163" s="291"/>
      <c r="T163" s="291"/>
      <c r="U163" s="291"/>
    </row>
    <row r="164" spans="1:21" s="8" customFormat="1" x14ac:dyDescent="0.35">
      <c r="A164" s="16"/>
      <c r="B164" s="16"/>
      <c r="C164" s="291"/>
      <c r="D164" s="291"/>
      <c r="E164" s="291"/>
      <c r="F164" s="291"/>
      <c r="G164" s="291"/>
      <c r="H164" s="291"/>
      <c r="I164" s="291"/>
      <c r="J164" s="291"/>
      <c r="K164" s="291"/>
      <c r="L164" s="291"/>
      <c r="M164" s="291"/>
      <c r="N164" s="291"/>
      <c r="O164" s="291"/>
      <c r="P164" s="291"/>
      <c r="Q164" s="291"/>
      <c r="R164" s="291"/>
      <c r="S164" s="291"/>
      <c r="T164" s="291"/>
      <c r="U164" s="291"/>
    </row>
    <row r="165" spans="1:21" s="8" customFormat="1" x14ac:dyDescent="0.35">
      <c r="A165" s="16"/>
      <c r="B165" s="16"/>
      <c r="C165" s="291"/>
      <c r="D165" s="291"/>
      <c r="E165" s="291"/>
      <c r="F165" s="291"/>
      <c r="G165" s="291"/>
      <c r="H165" s="291"/>
      <c r="I165" s="291"/>
      <c r="J165" s="291"/>
      <c r="K165" s="291"/>
      <c r="L165" s="291"/>
      <c r="M165" s="291"/>
      <c r="N165" s="291"/>
      <c r="O165" s="291"/>
      <c r="P165" s="291"/>
      <c r="Q165" s="291"/>
      <c r="R165" s="291"/>
      <c r="S165" s="291"/>
      <c r="T165" s="291"/>
      <c r="U165" s="291"/>
    </row>
    <row r="166" spans="1:21" s="8" customFormat="1" x14ac:dyDescent="0.35">
      <c r="A166" s="16"/>
      <c r="B166" s="16"/>
      <c r="C166" s="291"/>
      <c r="D166" s="291"/>
      <c r="E166" s="291"/>
      <c r="F166" s="291"/>
      <c r="G166" s="291"/>
      <c r="H166" s="291"/>
      <c r="I166" s="291"/>
      <c r="J166" s="291"/>
      <c r="K166" s="291"/>
      <c r="L166" s="291"/>
      <c r="M166" s="291"/>
      <c r="N166" s="291"/>
      <c r="O166" s="291"/>
      <c r="P166" s="291"/>
      <c r="Q166" s="291"/>
      <c r="R166" s="291"/>
      <c r="S166" s="291"/>
      <c r="T166" s="291"/>
      <c r="U166" s="291"/>
    </row>
    <row r="167" spans="1:21" s="8" customFormat="1" x14ac:dyDescent="0.35">
      <c r="A167" s="16"/>
      <c r="B167" s="16"/>
      <c r="C167" s="291"/>
      <c r="D167" s="291"/>
      <c r="E167" s="291"/>
      <c r="F167" s="291"/>
      <c r="G167" s="291"/>
      <c r="H167" s="291"/>
      <c r="I167" s="291"/>
      <c r="J167" s="291"/>
      <c r="K167" s="291"/>
      <c r="L167" s="291"/>
      <c r="M167" s="291"/>
      <c r="N167" s="291"/>
      <c r="O167" s="291"/>
      <c r="P167" s="291"/>
      <c r="Q167" s="291"/>
      <c r="R167" s="291"/>
      <c r="S167" s="291"/>
      <c r="T167" s="291"/>
      <c r="U167" s="291"/>
    </row>
    <row r="168" spans="1:21" s="8" customFormat="1" x14ac:dyDescent="0.35">
      <c r="A168" s="16"/>
      <c r="B168" s="16"/>
      <c r="C168" s="291"/>
      <c r="D168" s="291"/>
      <c r="E168" s="291"/>
      <c r="F168" s="291"/>
      <c r="G168" s="291"/>
      <c r="H168" s="291"/>
      <c r="I168" s="291"/>
      <c r="J168" s="291"/>
      <c r="K168" s="291"/>
      <c r="L168" s="291"/>
      <c r="M168" s="291"/>
      <c r="N168" s="291"/>
      <c r="O168" s="291"/>
      <c r="P168" s="291"/>
      <c r="Q168" s="291"/>
      <c r="R168" s="291"/>
      <c r="S168" s="291"/>
      <c r="T168" s="291"/>
      <c r="U168" s="291"/>
    </row>
    <row r="169" spans="1:21" s="8" customFormat="1" x14ac:dyDescent="0.35">
      <c r="A169" s="16"/>
      <c r="B169" s="16"/>
      <c r="C169" s="291"/>
      <c r="D169" s="291"/>
      <c r="E169" s="291"/>
      <c r="F169" s="291"/>
      <c r="G169" s="291"/>
      <c r="H169" s="291"/>
      <c r="I169" s="291"/>
      <c r="J169" s="291"/>
      <c r="K169" s="291"/>
      <c r="L169" s="291"/>
      <c r="M169" s="291"/>
      <c r="N169" s="291"/>
      <c r="O169" s="291"/>
      <c r="P169" s="291"/>
      <c r="Q169" s="291"/>
      <c r="R169" s="291"/>
      <c r="S169" s="291"/>
      <c r="T169" s="291"/>
      <c r="U169" s="291"/>
    </row>
    <row r="170" spans="1:21" s="8" customFormat="1" x14ac:dyDescent="0.35">
      <c r="A170" s="16"/>
      <c r="B170" s="16"/>
      <c r="C170" s="291"/>
      <c r="D170" s="291"/>
      <c r="E170" s="291"/>
      <c r="F170" s="291"/>
      <c r="G170" s="291"/>
      <c r="H170" s="291"/>
      <c r="I170" s="291"/>
      <c r="J170" s="291"/>
      <c r="K170" s="291"/>
      <c r="L170" s="291"/>
      <c r="M170" s="291"/>
      <c r="N170" s="291"/>
      <c r="O170" s="291"/>
      <c r="P170" s="291"/>
      <c r="Q170" s="291"/>
      <c r="R170" s="291"/>
      <c r="S170" s="291"/>
      <c r="T170" s="291"/>
      <c r="U170" s="291"/>
    </row>
    <row r="171" spans="1:21" s="8" customFormat="1" x14ac:dyDescent="0.35">
      <c r="A171" s="16"/>
      <c r="B171" s="16"/>
      <c r="C171" s="291"/>
      <c r="D171" s="291"/>
      <c r="E171" s="291"/>
      <c r="F171" s="291"/>
      <c r="G171" s="291"/>
      <c r="H171" s="291"/>
      <c r="I171" s="291"/>
      <c r="J171" s="291"/>
      <c r="K171" s="291"/>
      <c r="L171" s="291"/>
      <c r="M171" s="291"/>
      <c r="N171" s="291"/>
      <c r="O171" s="291"/>
      <c r="P171" s="291"/>
      <c r="Q171" s="291"/>
      <c r="R171" s="291"/>
      <c r="S171" s="291"/>
      <c r="T171" s="291"/>
      <c r="U171" s="291"/>
    </row>
    <row r="172" spans="1:21" s="8" customFormat="1" x14ac:dyDescent="0.35">
      <c r="A172" s="16"/>
      <c r="B172" s="16"/>
      <c r="C172" s="291"/>
      <c r="D172" s="291"/>
      <c r="E172" s="291"/>
      <c r="F172" s="291"/>
      <c r="G172" s="291"/>
      <c r="H172" s="291"/>
      <c r="I172" s="291"/>
      <c r="J172" s="291"/>
      <c r="K172" s="291"/>
      <c r="L172" s="291"/>
      <c r="M172" s="291"/>
      <c r="N172" s="291"/>
      <c r="O172" s="291"/>
      <c r="P172" s="291"/>
      <c r="Q172" s="291"/>
      <c r="R172" s="291"/>
      <c r="S172" s="291"/>
      <c r="T172" s="291"/>
      <c r="U172" s="291"/>
    </row>
    <row r="173" spans="1:21" s="8" customFormat="1" x14ac:dyDescent="0.35">
      <c r="A173" s="16"/>
      <c r="B173" s="16"/>
      <c r="C173" s="291"/>
      <c r="D173" s="291"/>
      <c r="E173" s="291"/>
      <c r="F173" s="291"/>
      <c r="G173" s="291"/>
      <c r="H173" s="291"/>
      <c r="I173" s="291"/>
      <c r="J173" s="291"/>
      <c r="K173" s="291"/>
      <c r="L173" s="291"/>
      <c r="M173" s="291"/>
      <c r="N173" s="291"/>
      <c r="O173" s="291"/>
      <c r="P173" s="291"/>
      <c r="Q173" s="291"/>
      <c r="R173" s="291"/>
      <c r="S173" s="291"/>
      <c r="T173" s="291"/>
      <c r="U173" s="291"/>
    </row>
    <row r="174" spans="1:21" s="8" customFormat="1" x14ac:dyDescent="0.35">
      <c r="A174" s="16"/>
      <c r="B174" s="16"/>
      <c r="C174" s="291"/>
      <c r="D174" s="291"/>
      <c r="E174" s="291"/>
      <c r="F174" s="291"/>
      <c r="G174" s="291"/>
      <c r="H174" s="291"/>
      <c r="I174" s="291"/>
      <c r="J174" s="291"/>
      <c r="K174" s="291"/>
      <c r="L174" s="291"/>
      <c r="M174" s="291"/>
      <c r="N174" s="291"/>
      <c r="O174" s="291"/>
      <c r="P174" s="291"/>
      <c r="Q174" s="291"/>
      <c r="R174" s="291"/>
      <c r="S174" s="291"/>
      <c r="T174" s="291"/>
      <c r="U174" s="291"/>
    </row>
    <row r="175" spans="1:21" s="8" customFormat="1" x14ac:dyDescent="0.35">
      <c r="A175" s="16"/>
      <c r="B175" s="16"/>
      <c r="C175" s="291"/>
      <c r="D175" s="291"/>
      <c r="E175" s="291"/>
      <c r="F175" s="291"/>
      <c r="G175" s="291"/>
      <c r="H175" s="291"/>
      <c r="I175" s="291"/>
      <c r="J175" s="291"/>
      <c r="K175" s="291"/>
      <c r="L175" s="291"/>
      <c r="M175" s="291"/>
      <c r="N175" s="291"/>
      <c r="O175" s="291"/>
      <c r="P175" s="291"/>
      <c r="Q175" s="291"/>
      <c r="R175" s="291"/>
      <c r="S175" s="291"/>
      <c r="T175" s="291"/>
      <c r="U175" s="291"/>
    </row>
    <row r="176" spans="1:21" s="8" customFormat="1" x14ac:dyDescent="0.35">
      <c r="A176" s="16"/>
      <c r="B176" s="16"/>
      <c r="C176" s="291"/>
      <c r="D176" s="291"/>
      <c r="E176" s="291"/>
      <c r="F176" s="291"/>
      <c r="G176" s="291"/>
      <c r="H176" s="291"/>
      <c r="I176" s="291"/>
      <c r="J176" s="291"/>
      <c r="K176" s="291"/>
      <c r="L176" s="291"/>
      <c r="M176" s="291"/>
      <c r="N176" s="291"/>
      <c r="O176" s="291"/>
      <c r="P176" s="291"/>
      <c r="Q176" s="291"/>
      <c r="R176" s="291"/>
      <c r="S176" s="291"/>
      <c r="T176" s="291"/>
      <c r="U176" s="291"/>
    </row>
    <row r="177" spans="1:21" s="8" customFormat="1" x14ac:dyDescent="0.35">
      <c r="A177" s="16"/>
      <c r="B177" s="16"/>
      <c r="C177" s="291"/>
      <c r="D177" s="291"/>
      <c r="E177" s="291"/>
      <c r="F177" s="291"/>
      <c r="G177" s="291"/>
      <c r="H177" s="291"/>
      <c r="I177" s="291"/>
      <c r="J177" s="291"/>
      <c r="K177" s="291"/>
      <c r="L177" s="291"/>
      <c r="M177" s="291"/>
      <c r="N177" s="291"/>
      <c r="O177" s="291"/>
      <c r="P177" s="291"/>
      <c r="Q177" s="291"/>
      <c r="R177" s="291"/>
      <c r="S177" s="291"/>
      <c r="T177" s="291"/>
      <c r="U177" s="291"/>
    </row>
    <row r="178" spans="1:21" s="8" customFormat="1" x14ac:dyDescent="0.35">
      <c r="A178" s="16"/>
      <c r="B178" s="16"/>
      <c r="C178" s="291"/>
      <c r="D178" s="291"/>
      <c r="E178" s="291"/>
      <c r="F178" s="291"/>
      <c r="G178" s="291"/>
      <c r="H178" s="291"/>
      <c r="I178" s="291"/>
      <c r="J178" s="291"/>
      <c r="K178" s="291"/>
      <c r="L178" s="291"/>
      <c r="M178" s="291"/>
      <c r="N178" s="291"/>
      <c r="O178" s="291"/>
      <c r="P178" s="291"/>
      <c r="Q178" s="291"/>
      <c r="R178" s="291"/>
      <c r="S178" s="291"/>
      <c r="T178" s="291"/>
      <c r="U178" s="291"/>
    </row>
    <row r="179" spans="1:21" s="8" customFormat="1" x14ac:dyDescent="0.35">
      <c r="A179" s="16"/>
      <c r="B179" s="16"/>
      <c r="C179" s="291"/>
      <c r="D179" s="291"/>
      <c r="E179" s="291"/>
      <c r="F179" s="291"/>
      <c r="G179" s="291"/>
      <c r="H179" s="291"/>
      <c r="I179" s="291"/>
      <c r="J179" s="291"/>
      <c r="K179" s="291"/>
      <c r="L179" s="291"/>
      <c r="M179" s="291"/>
      <c r="N179" s="291"/>
      <c r="O179" s="291"/>
      <c r="P179" s="291"/>
      <c r="Q179" s="291"/>
      <c r="R179" s="291"/>
      <c r="S179" s="291"/>
      <c r="T179" s="291"/>
      <c r="U179" s="291"/>
    </row>
    <row r="180" spans="1:21" s="8" customFormat="1" x14ac:dyDescent="0.35">
      <c r="A180" s="16"/>
      <c r="B180" s="16"/>
      <c r="C180" s="291"/>
      <c r="D180" s="291"/>
      <c r="E180" s="291"/>
      <c r="F180" s="291"/>
      <c r="G180" s="291"/>
      <c r="H180" s="291"/>
      <c r="I180" s="291"/>
      <c r="J180" s="291"/>
      <c r="K180" s="291"/>
      <c r="L180" s="291"/>
      <c r="M180" s="291"/>
      <c r="N180" s="291"/>
      <c r="O180" s="291"/>
      <c r="P180" s="291"/>
      <c r="Q180" s="291"/>
      <c r="R180" s="291"/>
      <c r="S180" s="291"/>
      <c r="T180" s="291"/>
      <c r="U180" s="291"/>
    </row>
    <row r="181" spans="1:21" s="8" customFormat="1" x14ac:dyDescent="0.35">
      <c r="A181" s="16"/>
      <c r="B181" s="16"/>
      <c r="C181" s="291"/>
      <c r="D181" s="291"/>
      <c r="E181" s="291"/>
      <c r="F181" s="291"/>
      <c r="G181" s="291"/>
      <c r="H181" s="291"/>
      <c r="I181" s="291"/>
      <c r="J181" s="291"/>
      <c r="K181" s="291"/>
      <c r="L181" s="291"/>
      <c r="M181" s="291"/>
      <c r="N181" s="291"/>
      <c r="O181" s="291"/>
      <c r="P181" s="291"/>
      <c r="Q181" s="291"/>
      <c r="R181" s="291"/>
      <c r="S181" s="291"/>
      <c r="T181" s="291"/>
      <c r="U181" s="291"/>
    </row>
    <row r="182" spans="1:21" s="8" customFormat="1" x14ac:dyDescent="0.35">
      <c r="A182" s="16"/>
      <c r="B182" s="16"/>
      <c r="C182" s="291"/>
      <c r="D182" s="291"/>
      <c r="E182" s="291"/>
      <c r="F182" s="291"/>
      <c r="G182" s="291"/>
      <c r="H182" s="291"/>
      <c r="I182" s="291"/>
      <c r="J182" s="291"/>
      <c r="K182" s="291"/>
      <c r="L182" s="291"/>
      <c r="M182" s="291"/>
      <c r="N182" s="291"/>
      <c r="O182" s="291"/>
      <c r="P182" s="291"/>
      <c r="Q182" s="291"/>
      <c r="R182" s="291"/>
      <c r="S182" s="291"/>
      <c r="T182" s="291"/>
      <c r="U182" s="291"/>
    </row>
    <row r="183" spans="1:21" s="8" customFormat="1" x14ac:dyDescent="0.35">
      <c r="A183" s="16"/>
      <c r="B183" s="16"/>
      <c r="C183" s="291"/>
      <c r="D183" s="291"/>
      <c r="E183" s="291"/>
      <c r="F183" s="291"/>
      <c r="G183" s="291"/>
      <c r="H183" s="291"/>
      <c r="I183" s="291"/>
      <c r="J183" s="291"/>
      <c r="K183" s="291"/>
      <c r="L183" s="291"/>
      <c r="M183" s="291"/>
      <c r="N183" s="291"/>
      <c r="O183" s="291"/>
      <c r="P183" s="291"/>
      <c r="Q183" s="291"/>
      <c r="R183" s="291"/>
      <c r="S183" s="291"/>
      <c r="T183" s="291"/>
      <c r="U183" s="291"/>
    </row>
    <row r="184" spans="1:21" s="8" customFormat="1" x14ac:dyDescent="0.35">
      <c r="A184" s="16"/>
      <c r="B184" s="16"/>
      <c r="C184" s="291"/>
      <c r="D184" s="291"/>
      <c r="E184" s="291"/>
      <c r="F184" s="291"/>
      <c r="G184" s="291"/>
      <c r="H184" s="291"/>
      <c r="I184" s="291"/>
      <c r="J184" s="291"/>
      <c r="K184" s="291"/>
      <c r="L184" s="291"/>
      <c r="M184" s="291"/>
      <c r="N184" s="291"/>
      <c r="O184" s="291"/>
      <c r="P184" s="291"/>
      <c r="Q184" s="291"/>
      <c r="R184" s="291"/>
      <c r="S184" s="291"/>
      <c r="T184" s="291"/>
      <c r="U184" s="291"/>
    </row>
    <row r="185" spans="1:21" s="8" customFormat="1" x14ac:dyDescent="0.35">
      <c r="A185" s="16"/>
      <c r="B185" s="16"/>
      <c r="C185" s="291"/>
      <c r="D185" s="291"/>
      <c r="E185" s="291"/>
      <c r="F185" s="291"/>
      <c r="G185" s="291"/>
      <c r="H185" s="291"/>
      <c r="I185" s="291"/>
      <c r="J185" s="291"/>
      <c r="K185" s="291"/>
      <c r="L185" s="291"/>
      <c r="M185" s="291"/>
      <c r="N185" s="291"/>
      <c r="O185" s="291"/>
      <c r="P185" s="291"/>
      <c r="Q185" s="291"/>
      <c r="R185" s="291"/>
      <c r="S185" s="291"/>
      <c r="T185" s="291"/>
      <c r="U185" s="291"/>
    </row>
    <row r="186" spans="1:21" s="8" customFormat="1" x14ac:dyDescent="0.35">
      <c r="A186" s="16"/>
      <c r="B186" s="16"/>
      <c r="C186" s="291"/>
      <c r="D186" s="291"/>
      <c r="E186" s="291"/>
      <c r="F186" s="291"/>
      <c r="G186" s="291"/>
      <c r="H186" s="291"/>
      <c r="I186" s="291"/>
      <c r="J186" s="291"/>
      <c r="K186" s="291"/>
      <c r="L186" s="291"/>
      <c r="M186" s="291"/>
      <c r="N186" s="291"/>
      <c r="O186" s="291"/>
      <c r="P186" s="291"/>
      <c r="Q186" s="291"/>
      <c r="R186" s="291"/>
      <c r="S186" s="291"/>
      <c r="T186" s="291"/>
      <c r="U186" s="291"/>
    </row>
    <row r="187" spans="1:21" s="8" customFormat="1" x14ac:dyDescent="0.35">
      <c r="A187" s="16"/>
      <c r="B187" s="16"/>
      <c r="C187" s="291"/>
      <c r="D187" s="291"/>
      <c r="E187" s="291"/>
      <c r="F187" s="291"/>
      <c r="G187" s="291"/>
      <c r="H187" s="291"/>
      <c r="I187" s="291"/>
      <c r="J187" s="291"/>
      <c r="K187" s="291"/>
      <c r="L187" s="291"/>
      <c r="M187" s="291"/>
      <c r="N187" s="291"/>
      <c r="O187" s="291"/>
      <c r="P187" s="291"/>
      <c r="Q187" s="291"/>
      <c r="R187" s="291"/>
      <c r="S187" s="291"/>
      <c r="T187" s="291"/>
      <c r="U187" s="291"/>
    </row>
    <row r="188" spans="1:21" s="8" customFormat="1" x14ac:dyDescent="0.35">
      <c r="A188" s="16"/>
      <c r="B188" s="16"/>
      <c r="C188" s="291"/>
      <c r="D188" s="291"/>
      <c r="E188" s="291"/>
      <c r="F188" s="291"/>
      <c r="G188" s="291"/>
      <c r="H188" s="291"/>
      <c r="I188" s="291"/>
      <c r="J188" s="291"/>
      <c r="K188" s="291"/>
      <c r="L188" s="291"/>
      <c r="M188" s="291"/>
      <c r="N188" s="291"/>
      <c r="O188" s="291"/>
      <c r="P188" s="291"/>
      <c r="Q188" s="291"/>
      <c r="R188" s="291"/>
      <c r="S188" s="291"/>
      <c r="T188" s="291"/>
      <c r="U188" s="291"/>
    </row>
    <row r="189" spans="1:21" s="8" customFormat="1" x14ac:dyDescent="0.35">
      <c r="A189" s="16"/>
      <c r="B189" s="16"/>
      <c r="C189" s="291"/>
      <c r="D189" s="291"/>
      <c r="E189" s="291"/>
      <c r="F189" s="291"/>
      <c r="G189" s="291"/>
      <c r="H189" s="291"/>
      <c r="I189" s="291"/>
      <c r="J189" s="291"/>
      <c r="K189" s="291"/>
      <c r="L189" s="291"/>
      <c r="M189" s="291"/>
      <c r="N189" s="291"/>
      <c r="O189" s="291"/>
      <c r="P189" s="291"/>
      <c r="Q189" s="291"/>
      <c r="R189" s="291"/>
      <c r="S189" s="291"/>
      <c r="T189" s="291"/>
      <c r="U189" s="291"/>
    </row>
    <row r="190" spans="1:21" s="8" customFormat="1" x14ac:dyDescent="0.35">
      <c r="A190" s="16"/>
      <c r="B190" s="16"/>
      <c r="C190" s="291"/>
      <c r="D190" s="291"/>
      <c r="E190" s="291"/>
      <c r="F190" s="291"/>
      <c r="G190" s="291"/>
      <c r="H190" s="291"/>
      <c r="I190" s="291"/>
      <c r="J190" s="291"/>
      <c r="K190" s="291"/>
      <c r="L190" s="291"/>
      <c r="M190" s="291"/>
      <c r="N190" s="291"/>
      <c r="O190" s="291"/>
      <c r="P190" s="291"/>
      <c r="Q190" s="291"/>
      <c r="R190" s="291"/>
      <c r="S190" s="291"/>
      <c r="T190" s="291"/>
      <c r="U190" s="291"/>
    </row>
    <row r="191" spans="1:21" s="8" customFormat="1" x14ac:dyDescent="0.35">
      <c r="A191" s="16"/>
      <c r="B191" s="16"/>
      <c r="C191" s="291"/>
      <c r="D191" s="291"/>
      <c r="E191" s="291"/>
      <c r="F191" s="291"/>
      <c r="G191" s="291"/>
      <c r="H191" s="291"/>
      <c r="I191" s="291"/>
      <c r="J191" s="291"/>
      <c r="K191" s="291"/>
      <c r="L191" s="291"/>
      <c r="M191" s="291"/>
      <c r="N191" s="291"/>
      <c r="O191" s="291"/>
      <c r="P191" s="291"/>
      <c r="Q191" s="291"/>
      <c r="R191" s="291"/>
      <c r="S191" s="291"/>
      <c r="T191" s="291"/>
      <c r="U191" s="291"/>
    </row>
    <row r="192" spans="1:21" s="8" customFormat="1" x14ac:dyDescent="0.35">
      <c r="A192" s="16"/>
      <c r="B192" s="16"/>
      <c r="C192" s="291"/>
      <c r="D192" s="291"/>
      <c r="E192" s="291"/>
      <c r="F192" s="291"/>
      <c r="G192" s="291"/>
      <c r="H192" s="291"/>
      <c r="I192" s="291"/>
      <c r="J192" s="291"/>
      <c r="K192" s="291"/>
      <c r="L192" s="291"/>
      <c r="M192" s="291"/>
      <c r="N192" s="291"/>
      <c r="O192" s="291"/>
      <c r="P192" s="291"/>
      <c r="Q192" s="291"/>
      <c r="R192" s="291"/>
      <c r="S192" s="291"/>
      <c r="T192" s="291"/>
      <c r="U192" s="291"/>
    </row>
    <row r="193" spans="1:21" s="8" customFormat="1" x14ac:dyDescent="0.35">
      <c r="A193" s="16"/>
      <c r="B193" s="16"/>
      <c r="C193" s="291"/>
      <c r="D193" s="291"/>
      <c r="E193" s="291"/>
      <c r="F193" s="291"/>
      <c r="G193" s="291"/>
      <c r="H193" s="291"/>
      <c r="I193" s="291"/>
      <c r="J193" s="291"/>
      <c r="K193" s="291"/>
      <c r="L193" s="291"/>
      <c r="M193" s="291"/>
      <c r="N193" s="291"/>
      <c r="O193" s="291"/>
      <c r="P193" s="291"/>
      <c r="Q193" s="291"/>
      <c r="R193" s="291"/>
      <c r="S193" s="291"/>
      <c r="T193" s="291"/>
      <c r="U193" s="291"/>
    </row>
    <row r="194" spans="1:21" s="8" customFormat="1" x14ac:dyDescent="0.35">
      <c r="A194" s="16"/>
      <c r="B194" s="16"/>
      <c r="C194" s="291"/>
      <c r="D194" s="291"/>
      <c r="E194" s="291"/>
      <c r="F194" s="291"/>
      <c r="G194" s="291"/>
      <c r="H194" s="291"/>
      <c r="I194" s="291"/>
      <c r="J194" s="291"/>
      <c r="K194" s="291"/>
      <c r="L194" s="291"/>
      <c r="M194" s="291"/>
      <c r="N194" s="291"/>
      <c r="O194" s="291"/>
      <c r="P194" s="291"/>
      <c r="Q194" s="291"/>
      <c r="R194" s="291"/>
      <c r="S194" s="291"/>
      <c r="T194" s="291"/>
      <c r="U194" s="291"/>
    </row>
    <row r="195" spans="1:21" s="8" customFormat="1" x14ac:dyDescent="0.35">
      <c r="A195" s="16"/>
      <c r="B195" s="16"/>
      <c r="C195" s="291"/>
      <c r="D195" s="291"/>
      <c r="E195" s="291"/>
      <c r="F195" s="291"/>
      <c r="G195" s="291"/>
      <c r="H195" s="291"/>
      <c r="I195" s="291"/>
      <c r="J195" s="291"/>
      <c r="K195" s="291"/>
      <c r="L195" s="291"/>
      <c r="M195" s="291"/>
      <c r="N195" s="291"/>
      <c r="O195" s="291"/>
      <c r="P195" s="291"/>
      <c r="Q195" s="291"/>
      <c r="R195" s="291"/>
      <c r="S195" s="291"/>
      <c r="T195" s="291"/>
      <c r="U195" s="291"/>
    </row>
    <row r="196" spans="1:21" s="8" customFormat="1" x14ac:dyDescent="0.35">
      <c r="A196" s="16"/>
      <c r="B196" s="16"/>
      <c r="C196" s="291"/>
      <c r="D196" s="291"/>
      <c r="E196" s="291"/>
      <c r="F196" s="291"/>
      <c r="G196" s="291"/>
      <c r="H196" s="291"/>
      <c r="I196" s="291"/>
      <c r="J196" s="291"/>
      <c r="K196" s="291"/>
      <c r="L196" s="291"/>
      <c r="M196" s="291"/>
      <c r="N196" s="291"/>
      <c r="O196" s="291"/>
      <c r="P196" s="291"/>
      <c r="Q196" s="291"/>
      <c r="R196" s="291"/>
      <c r="S196" s="291"/>
      <c r="T196" s="291"/>
      <c r="U196" s="291"/>
    </row>
    <row r="197" spans="1:21" s="8" customFormat="1" x14ac:dyDescent="0.35">
      <c r="A197" s="16"/>
      <c r="B197" s="16"/>
      <c r="C197" s="291"/>
      <c r="D197" s="291"/>
      <c r="E197" s="291"/>
      <c r="F197" s="291"/>
      <c r="G197" s="291"/>
      <c r="H197" s="291"/>
      <c r="I197" s="291"/>
      <c r="J197" s="291"/>
      <c r="K197" s="291"/>
      <c r="L197" s="291"/>
      <c r="M197" s="291"/>
      <c r="N197" s="291"/>
      <c r="O197" s="291"/>
      <c r="P197" s="291"/>
      <c r="Q197" s="291"/>
      <c r="R197" s="291"/>
      <c r="S197" s="291"/>
      <c r="T197" s="291"/>
      <c r="U197" s="291"/>
    </row>
    <row r="198" spans="1:21" s="8" customFormat="1" x14ac:dyDescent="0.35">
      <c r="A198" s="16"/>
      <c r="B198" s="16"/>
      <c r="C198" s="291"/>
      <c r="D198" s="291"/>
      <c r="E198" s="291"/>
      <c r="F198" s="291"/>
      <c r="G198" s="291"/>
      <c r="H198" s="291"/>
      <c r="I198" s="291"/>
      <c r="J198" s="291"/>
      <c r="K198" s="291"/>
      <c r="L198" s="291"/>
      <c r="M198" s="291"/>
      <c r="N198" s="291"/>
      <c r="O198" s="291"/>
      <c r="P198" s="291"/>
      <c r="Q198" s="291"/>
      <c r="R198" s="291"/>
      <c r="S198" s="291"/>
      <c r="T198" s="291"/>
      <c r="U198" s="291"/>
    </row>
    <row r="199" spans="1:21" s="8" customFormat="1" x14ac:dyDescent="0.35">
      <c r="A199" s="16"/>
      <c r="B199" s="16"/>
      <c r="C199" s="291"/>
      <c r="D199" s="291"/>
      <c r="E199" s="291"/>
      <c r="F199" s="291"/>
      <c r="G199" s="291"/>
      <c r="H199" s="291"/>
      <c r="I199" s="291"/>
      <c r="J199" s="291"/>
      <c r="K199" s="291"/>
      <c r="L199" s="291"/>
      <c r="M199" s="291"/>
      <c r="N199" s="291"/>
      <c r="O199" s="291"/>
      <c r="P199" s="291"/>
      <c r="Q199" s="291"/>
      <c r="R199" s="291"/>
      <c r="S199" s="291"/>
      <c r="T199" s="291"/>
      <c r="U199" s="291"/>
    </row>
    <row r="200" spans="1:21" s="8" customFormat="1" x14ac:dyDescent="0.35">
      <c r="A200" s="16"/>
      <c r="B200" s="16"/>
      <c r="C200" s="291"/>
      <c r="D200" s="291"/>
      <c r="E200" s="291"/>
      <c r="F200" s="291"/>
      <c r="G200" s="291"/>
      <c r="H200" s="291"/>
      <c r="I200" s="291"/>
      <c r="J200" s="291"/>
      <c r="K200" s="291"/>
      <c r="L200" s="291"/>
      <c r="M200" s="291"/>
      <c r="N200" s="291"/>
      <c r="O200" s="291"/>
      <c r="P200" s="291"/>
      <c r="Q200" s="291"/>
      <c r="R200" s="291"/>
      <c r="S200" s="291"/>
      <c r="T200" s="291"/>
      <c r="U200" s="291"/>
    </row>
    <row r="201" spans="1:21" s="8" customFormat="1" x14ac:dyDescent="0.35">
      <c r="A201" s="16"/>
      <c r="B201" s="16"/>
      <c r="C201" s="291"/>
      <c r="D201" s="291"/>
      <c r="E201" s="291"/>
      <c r="F201" s="291"/>
      <c r="G201" s="291"/>
      <c r="H201" s="291"/>
      <c r="I201" s="291"/>
      <c r="J201" s="291"/>
      <c r="K201" s="291"/>
      <c r="L201" s="291"/>
      <c r="M201" s="291"/>
      <c r="N201" s="291"/>
      <c r="O201" s="291"/>
      <c r="P201" s="291"/>
      <c r="Q201" s="291"/>
      <c r="R201" s="291"/>
      <c r="S201" s="291"/>
      <c r="T201" s="291"/>
      <c r="U201" s="291"/>
    </row>
    <row r="202" spans="1:21" s="8" customFormat="1" x14ac:dyDescent="0.35">
      <c r="A202" s="16"/>
      <c r="B202" s="16"/>
      <c r="C202" s="291"/>
      <c r="D202" s="291"/>
      <c r="E202" s="291"/>
      <c r="F202" s="291"/>
      <c r="G202" s="291"/>
      <c r="H202" s="291"/>
      <c r="I202" s="291"/>
      <c r="J202" s="291"/>
      <c r="K202" s="291"/>
      <c r="L202" s="291"/>
      <c r="M202" s="291"/>
      <c r="N202" s="291"/>
      <c r="O202" s="291"/>
      <c r="P202" s="291"/>
      <c r="Q202" s="291"/>
      <c r="R202" s="291"/>
      <c r="S202" s="291"/>
      <c r="T202" s="291"/>
      <c r="U202" s="291"/>
    </row>
    <row r="203" spans="1:21" s="8" customFormat="1" x14ac:dyDescent="0.35">
      <c r="A203" s="16"/>
      <c r="B203" s="16"/>
      <c r="C203" s="291"/>
      <c r="D203" s="291"/>
      <c r="E203" s="291"/>
      <c r="F203" s="291"/>
      <c r="G203" s="291"/>
      <c r="H203" s="291"/>
      <c r="I203" s="291"/>
      <c r="J203" s="291"/>
      <c r="K203" s="291"/>
      <c r="L203" s="291"/>
      <c r="M203" s="291"/>
      <c r="N203" s="291"/>
      <c r="O203" s="291"/>
      <c r="P203" s="291"/>
      <c r="Q203" s="291"/>
      <c r="R203" s="291"/>
      <c r="S203" s="291"/>
      <c r="T203" s="291"/>
      <c r="U203" s="291"/>
    </row>
    <row r="204" spans="1:21" s="8" customFormat="1" x14ac:dyDescent="0.35">
      <c r="A204" s="16"/>
      <c r="B204" s="16"/>
      <c r="C204" s="291"/>
      <c r="D204" s="291"/>
      <c r="E204" s="291"/>
      <c r="F204" s="291"/>
      <c r="G204" s="291"/>
      <c r="H204" s="291"/>
      <c r="I204" s="291"/>
      <c r="J204" s="291"/>
      <c r="K204" s="291"/>
      <c r="L204" s="291"/>
      <c r="M204" s="291"/>
      <c r="N204" s="291"/>
      <c r="O204" s="291"/>
      <c r="P204" s="291"/>
      <c r="Q204" s="291"/>
      <c r="R204" s="291"/>
      <c r="S204" s="291"/>
      <c r="T204" s="291"/>
      <c r="U204" s="291"/>
    </row>
    <row r="205" spans="1:21" s="8" customFormat="1" x14ac:dyDescent="0.35">
      <c r="A205" s="16"/>
      <c r="B205" s="16"/>
      <c r="C205" s="291"/>
      <c r="D205" s="291"/>
      <c r="E205" s="291"/>
      <c r="F205" s="291"/>
      <c r="G205" s="291"/>
      <c r="H205" s="291"/>
      <c r="I205" s="291"/>
      <c r="J205" s="291"/>
      <c r="K205" s="291"/>
      <c r="L205" s="291"/>
      <c r="M205" s="291"/>
      <c r="N205" s="291"/>
      <c r="O205" s="291"/>
      <c r="P205" s="291"/>
      <c r="Q205" s="291"/>
      <c r="R205" s="291"/>
      <c r="S205" s="291"/>
      <c r="T205" s="291"/>
      <c r="U205" s="291"/>
    </row>
    <row r="206" spans="1:21" s="8" customFormat="1" x14ac:dyDescent="0.35">
      <c r="A206" s="16"/>
      <c r="B206" s="16"/>
      <c r="C206" s="291"/>
      <c r="D206" s="291"/>
      <c r="E206" s="291"/>
      <c r="F206" s="291"/>
      <c r="G206" s="291"/>
      <c r="H206" s="291"/>
      <c r="I206" s="291"/>
      <c r="J206" s="291"/>
      <c r="K206" s="291"/>
      <c r="L206" s="291"/>
      <c r="M206" s="291"/>
      <c r="N206" s="291"/>
      <c r="O206" s="291"/>
      <c r="P206" s="291"/>
      <c r="Q206" s="291"/>
      <c r="R206" s="291"/>
      <c r="S206" s="291"/>
      <c r="T206" s="291"/>
      <c r="U206" s="291"/>
    </row>
    <row r="207" spans="1:21" s="8" customFormat="1" x14ac:dyDescent="0.35">
      <c r="A207" s="16"/>
      <c r="B207" s="16"/>
      <c r="C207" s="291"/>
      <c r="D207" s="291"/>
      <c r="E207" s="291"/>
      <c r="F207" s="291"/>
      <c r="G207" s="291"/>
      <c r="H207" s="291"/>
      <c r="I207" s="291"/>
      <c r="J207" s="291"/>
      <c r="K207" s="291"/>
      <c r="L207" s="291"/>
      <c r="M207" s="291"/>
      <c r="N207" s="291"/>
      <c r="O207" s="291"/>
      <c r="P207" s="291"/>
      <c r="Q207" s="291"/>
      <c r="R207" s="291"/>
      <c r="S207" s="291"/>
      <c r="T207" s="291"/>
      <c r="U207" s="291"/>
    </row>
    <row r="208" spans="1:21" s="8" customFormat="1" x14ac:dyDescent="0.35">
      <c r="A208" s="16"/>
      <c r="B208" s="16"/>
      <c r="C208" s="291"/>
      <c r="D208" s="291"/>
      <c r="E208" s="291"/>
      <c r="F208" s="291"/>
      <c r="G208" s="291"/>
      <c r="H208" s="291"/>
      <c r="I208" s="291"/>
      <c r="J208" s="291"/>
      <c r="K208" s="291"/>
      <c r="L208" s="291"/>
      <c r="M208" s="291"/>
      <c r="N208" s="291"/>
      <c r="O208" s="291"/>
      <c r="P208" s="291"/>
      <c r="Q208" s="291"/>
      <c r="R208" s="291"/>
      <c r="S208" s="291"/>
      <c r="T208" s="291"/>
      <c r="U208" s="291"/>
    </row>
    <row r="209" spans="1:21" s="8" customFormat="1" x14ac:dyDescent="0.35">
      <c r="A209" s="16"/>
      <c r="B209" s="16"/>
      <c r="C209" s="291"/>
      <c r="D209" s="291"/>
      <c r="E209" s="291"/>
      <c r="F209" s="291"/>
      <c r="G209" s="291"/>
      <c r="H209" s="291"/>
      <c r="I209" s="291"/>
      <c r="J209" s="291"/>
      <c r="K209" s="291"/>
      <c r="L209" s="291"/>
      <c r="M209" s="291"/>
      <c r="N209" s="291"/>
      <c r="O209" s="291"/>
      <c r="P209" s="291"/>
      <c r="Q209" s="291"/>
      <c r="R209" s="291"/>
      <c r="S209" s="291"/>
      <c r="T209" s="291"/>
      <c r="U209" s="291"/>
    </row>
    <row r="210" spans="1:21" s="8" customFormat="1" x14ac:dyDescent="0.35">
      <c r="A210" s="16"/>
      <c r="B210" s="16"/>
      <c r="C210" s="291"/>
      <c r="D210" s="291"/>
      <c r="E210" s="291"/>
      <c r="F210" s="291"/>
      <c r="G210" s="291"/>
      <c r="H210" s="291"/>
      <c r="I210" s="291"/>
      <c r="J210" s="291"/>
      <c r="K210" s="291"/>
      <c r="L210" s="291"/>
      <c r="M210" s="291"/>
      <c r="N210" s="291"/>
      <c r="O210" s="291"/>
      <c r="P210" s="291"/>
      <c r="Q210" s="291"/>
      <c r="R210" s="291"/>
      <c r="S210" s="291"/>
      <c r="T210" s="291"/>
      <c r="U210" s="291"/>
    </row>
    <row r="211" spans="1:21" s="8" customFormat="1" x14ac:dyDescent="0.35">
      <c r="A211" s="16"/>
      <c r="B211" s="16"/>
      <c r="C211" s="291"/>
      <c r="D211" s="291"/>
      <c r="E211" s="291"/>
      <c r="F211" s="291"/>
      <c r="G211" s="291"/>
      <c r="H211" s="291"/>
      <c r="I211" s="291"/>
      <c r="J211" s="291"/>
      <c r="K211" s="291"/>
      <c r="L211" s="291"/>
      <c r="M211" s="291"/>
      <c r="N211" s="291"/>
      <c r="O211" s="291"/>
      <c r="P211" s="291"/>
      <c r="Q211" s="291"/>
      <c r="R211" s="291"/>
      <c r="S211" s="291"/>
      <c r="T211" s="291"/>
      <c r="U211" s="291"/>
    </row>
    <row r="212" spans="1:21" s="8" customFormat="1" x14ac:dyDescent="0.35">
      <c r="A212" s="16"/>
      <c r="B212" s="16"/>
      <c r="C212" s="291"/>
      <c r="D212" s="291"/>
      <c r="E212" s="291"/>
      <c r="F212" s="291"/>
      <c r="G212" s="291"/>
      <c r="H212" s="291"/>
      <c r="I212" s="291"/>
      <c r="J212" s="291"/>
      <c r="K212" s="291"/>
      <c r="L212" s="291"/>
      <c r="M212" s="291"/>
      <c r="N212" s="291"/>
      <c r="O212" s="291"/>
      <c r="P212" s="291"/>
      <c r="Q212" s="291"/>
      <c r="R212" s="291"/>
      <c r="S212" s="291"/>
      <c r="T212" s="291"/>
      <c r="U212" s="291"/>
    </row>
    <row r="213" spans="1:21" s="8" customFormat="1" x14ac:dyDescent="0.35">
      <c r="A213" s="16"/>
      <c r="B213" s="16"/>
      <c r="C213" s="291"/>
      <c r="D213" s="291"/>
      <c r="E213" s="291"/>
      <c r="F213" s="291"/>
      <c r="G213" s="291"/>
      <c r="H213" s="291"/>
      <c r="I213" s="291"/>
      <c r="J213" s="291"/>
      <c r="K213" s="291"/>
      <c r="L213" s="291"/>
      <c r="M213" s="291"/>
      <c r="N213" s="291"/>
      <c r="O213" s="291"/>
      <c r="P213" s="291"/>
      <c r="Q213" s="291"/>
      <c r="R213" s="291"/>
      <c r="S213" s="291"/>
      <c r="T213" s="291"/>
      <c r="U213" s="291"/>
    </row>
    <row r="214" spans="1:21" s="8" customFormat="1" x14ac:dyDescent="0.35">
      <c r="A214" s="16"/>
      <c r="B214" s="16"/>
      <c r="C214" s="291"/>
      <c r="D214" s="291"/>
      <c r="E214" s="291"/>
      <c r="F214" s="291"/>
      <c r="G214" s="291"/>
      <c r="H214" s="291"/>
      <c r="I214" s="291"/>
      <c r="J214" s="291"/>
      <c r="K214" s="291"/>
      <c r="L214" s="291"/>
      <c r="M214" s="291"/>
      <c r="N214" s="291"/>
      <c r="O214" s="291"/>
      <c r="P214" s="291"/>
      <c r="Q214" s="291"/>
      <c r="R214" s="291"/>
      <c r="S214" s="291"/>
      <c r="T214" s="291"/>
      <c r="U214" s="291"/>
    </row>
    <row r="215" spans="1:21" s="8" customFormat="1" x14ac:dyDescent="0.35">
      <c r="A215" s="16"/>
      <c r="B215" s="16"/>
      <c r="C215" s="291"/>
      <c r="D215" s="291"/>
      <c r="E215" s="291"/>
      <c r="F215" s="291"/>
      <c r="G215" s="291"/>
      <c r="H215" s="291"/>
      <c r="I215" s="291"/>
      <c r="J215" s="291"/>
      <c r="K215" s="291"/>
      <c r="L215" s="291"/>
      <c r="M215" s="291"/>
      <c r="N215" s="291"/>
      <c r="O215" s="291"/>
      <c r="P215" s="291"/>
      <c r="Q215" s="291"/>
      <c r="R215" s="291"/>
      <c r="S215" s="291"/>
      <c r="T215" s="291"/>
      <c r="U215" s="291"/>
    </row>
    <row r="216" spans="1:21" s="8" customFormat="1" x14ac:dyDescent="0.35">
      <c r="A216" s="16"/>
      <c r="B216" s="16"/>
      <c r="C216" s="291"/>
      <c r="D216" s="291"/>
      <c r="E216" s="291"/>
      <c r="F216" s="291"/>
      <c r="G216" s="291"/>
      <c r="H216" s="291"/>
      <c r="I216" s="291"/>
      <c r="J216" s="291"/>
      <c r="K216" s="291"/>
      <c r="L216" s="291"/>
      <c r="M216" s="291"/>
      <c r="N216" s="291"/>
      <c r="O216" s="291"/>
      <c r="P216" s="291"/>
      <c r="Q216" s="291"/>
      <c r="R216" s="291"/>
      <c r="S216" s="291"/>
      <c r="T216" s="291"/>
      <c r="U216" s="291"/>
    </row>
    <row r="217" spans="1:21" s="8" customFormat="1" x14ac:dyDescent="0.35">
      <c r="A217" s="16"/>
      <c r="B217" s="16"/>
      <c r="C217" s="291"/>
      <c r="D217" s="291"/>
      <c r="E217" s="291"/>
      <c r="F217" s="291"/>
      <c r="G217" s="291"/>
      <c r="H217" s="291"/>
      <c r="I217" s="291"/>
      <c r="J217" s="291"/>
      <c r="K217" s="291"/>
      <c r="L217" s="291"/>
      <c r="M217" s="291"/>
      <c r="N217" s="291"/>
      <c r="O217" s="291"/>
      <c r="P217" s="291"/>
      <c r="Q217" s="291"/>
      <c r="R217" s="291"/>
      <c r="S217" s="291"/>
      <c r="T217" s="291"/>
      <c r="U217" s="291"/>
    </row>
    <row r="218" spans="1:21" s="8" customFormat="1" x14ac:dyDescent="0.35">
      <c r="A218" s="16"/>
      <c r="B218" s="16"/>
      <c r="C218" s="291"/>
      <c r="D218" s="291"/>
      <c r="E218" s="291"/>
      <c r="F218" s="291"/>
      <c r="G218" s="291"/>
      <c r="H218" s="291"/>
      <c r="I218" s="291"/>
      <c r="J218" s="291"/>
      <c r="K218" s="291"/>
      <c r="L218" s="291"/>
      <c r="M218" s="291"/>
      <c r="N218" s="291"/>
      <c r="O218" s="291"/>
      <c r="P218" s="291"/>
      <c r="Q218" s="291"/>
      <c r="R218" s="291"/>
      <c r="S218" s="291"/>
      <c r="T218" s="291"/>
      <c r="U218" s="291"/>
    </row>
    <row r="219" spans="1:21" s="8" customFormat="1" x14ac:dyDescent="0.35">
      <c r="A219" s="16"/>
      <c r="B219" s="16"/>
      <c r="C219" s="291"/>
      <c r="D219" s="291"/>
      <c r="E219" s="291"/>
      <c r="F219" s="291"/>
      <c r="G219" s="291"/>
      <c r="H219" s="291"/>
      <c r="I219" s="291"/>
      <c r="J219" s="291"/>
      <c r="K219" s="291"/>
      <c r="L219" s="291"/>
      <c r="M219" s="291"/>
      <c r="N219" s="291"/>
      <c r="O219" s="291"/>
      <c r="P219" s="291"/>
      <c r="Q219" s="291"/>
      <c r="R219" s="291"/>
      <c r="S219" s="291"/>
      <c r="T219" s="291"/>
      <c r="U219" s="291"/>
    </row>
    <row r="220" spans="1:21" s="8" customFormat="1" x14ac:dyDescent="0.35">
      <c r="A220" s="16"/>
      <c r="B220" s="16"/>
      <c r="C220" s="291"/>
      <c r="D220" s="291"/>
      <c r="E220" s="291"/>
      <c r="F220" s="291"/>
      <c r="G220" s="291"/>
      <c r="H220" s="291"/>
      <c r="I220" s="291"/>
      <c r="J220" s="291"/>
      <c r="K220" s="291"/>
      <c r="L220" s="291"/>
      <c r="M220" s="291"/>
      <c r="N220" s="291"/>
      <c r="O220" s="291"/>
      <c r="P220" s="291"/>
      <c r="Q220" s="291"/>
      <c r="R220" s="291"/>
      <c r="S220" s="291"/>
      <c r="T220" s="291"/>
      <c r="U220" s="291"/>
    </row>
    <row r="221" spans="1:21" s="8" customFormat="1" x14ac:dyDescent="0.35">
      <c r="A221" s="16"/>
      <c r="B221" s="16"/>
      <c r="C221" s="291"/>
      <c r="D221" s="291"/>
      <c r="E221" s="291"/>
      <c r="F221" s="291"/>
      <c r="G221" s="291"/>
      <c r="H221" s="291"/>
      <c r="I221" s="291"/>
      <c r="J221" s="291"/>
      <c r="K221" s="291"/>
      <c r="L221" s="291"/>
      <c r="M221" s="291"/>
      <c r="N221" s="291"/>
      <c r="O221" s="291"/>
      <c r="P221" s="291"/>
      <c r="Q221" s="291"/>
      <c r="R221" s="291"/>
      <c r="S221" s="291"/>
      <c r="T221" s="291"/>
      <c r="U221" s="291"/>
    </row>
    <row r="222" spans="1:21" s="8" customFormat="1" x14ac:dyDescent="0.35">
      <c r="A222" s="16"/>
      <c r="B222" s="16"/>
      <c r="C222" s="291"/>
      <c r="D222" s="291"/>
      <c r="E222" s="291"/>
      <c r="F222" s="291"/>
      <c r="G222" s="291"/>
      <c r="H222" s="291"/>
      <c r="I222" s="291"/>
      <c r="J222" s="291"/>
      <c r="K222" s="291"/>
      <c r="L222" s="291"/>
      <c r="M222" s="291"/>
      <c r="N222" s="291"/>
      <c r="O222" s="291"/>
      <c r="P222" s="291"/>
      <c r="Q222" s="291"/>
      <c r="R222" s="291"/>
      <c r="S222" s="291"/>
      <c r="T222" s="291"/>
      <c r="U222" s="291"/>
    </row>
    <row r="223" spans="1:21" s="8" customFormat="1" x14ac:dyDescent="0.35">
      <c r="A223" s="16"/>
      <c r="B223" s="16"/>
      <c r="C223" s="291"/>
      <c r="D223" s="291"/>
      <c r="E223" s="291"/>
      <c r="F223" s="291"/>
      <c r="G223" s="291"/>
      <c r="H223" s="291"/>
      <c r="I223" s="291"/>
      <c r="J223" s="291"/>
      <c r="K223" s="291"/>
      <c r="L223" s="291"/>
      <c r="M223" s="291"/>
      <c r="N223" s="291"/>
      <c r="O223" s="291"/>
      <c r="P223" s="291"/>
      <c r="Q223" s="291"/>
      <c r="R223" s="291"/>
      <c r="S223" s="291"/>
      <c r="T223" s="291"/>
      <c r="U223" s="291"/>
    </row>
    <row r="224" spans="1:21" s="8" customFormat="1" x14ac:dyDescent="0.35">
      <c r="A224" s="16"/>
      <c r="B224" s="16"/>
      <c r="C224" s="291"/>
      <c r="D224" s="291"/>
      <c r="E224" s="291"/>
      <c r="F224" s="291"/>
      <c r="G224" s="291"/>
      <c r="H224" s="291"/>
      <c r="I224" s="291"/>
      <c r="J224" s="291"/>
      <c r="K224" s="291"/>
      <c r="L224" s="291"/>
      <c r="M224" s="291"/>
      <c r="N224" s="291"/>
      <c r="O224" s="291"/>
      <c r="P224" s="291"/>
      <c r="Q224" s="291"/>
      <c r="R224" s="291"/>
      <c r="S224" s="291"/>
      <c r="T224" s="291"/>
      <c r="U224" s="291"/>
    </row>
    <row r="225" spans="1:21" s="8" customFormat="1" x14ac:dyDescent="0.35">
      <c r="A225" s="16"/>
      <c r="B225" s="16"/>
      <c r="C225" s="291"/>
      <c r="D225" s="291"/>
      <c r="E225" s="291"/>
      <c r="F225" s="291"/>
      <c r="G225" s="291"/>
      <c r="H225" s="291"/>
      <c r="I225" s="291"/>
      <c r="J225" s="291"/>
      <c r="K225" s="291"/>
      <c r="L225" s="291"/>
      <c r="M225" s="291"/>
      <c r="N225" s="291"/>
      <c r="O225" s="291"/>
      <c r="P225" s="291"/>
      <c r="Q225" s="291"/>
      <c r="R225" s="291"/>
      <c r="S225" s="291"/>
      <c r="T225" s="291"/>
      <c r="U225" s="291"/>
    </row>
    <row r="226" spans="1:21" s="8" customFormat="1" x14ac:dyDescent="0.35">
      <c r="A226" s="16"/>
      <c r="B226" s="16"/>
      <c r="C226" s="291"/>
      <c r="D226" s="291"/>
      <c r="E226" s="291"/>
      <c r="F226" s="291"/>
      <c r="G226" s="291"/>
      <c r="H226" s="291"/>
      <c r="I226" s="291"/>
      <c r="J226" s="291"/>
      <c r="K226" s="291"/>
      <c r="L226" s="291"/>
      <c r="M226" s="291"/>
      <c r="N226" s="291"/>
      <c r="O226" s="291"/>
      <c r="P226" s="291"/>
      <c r="Q226" s="291"/>
      <c r="R226" s="291"/>
      <c r="S226" s="291"/>
      <c r="T226" s="291"/>
      <c r="U226" s="291"/>
    </row>
    <row r="227" spans="1:21" s="8" customFormat="1" x14ac:dyDescent="0.35">
      <c r="A227" s="16"/>
      <c r="B227" s="16"/>
      <c r="C227" s="291"/>
      <c r="D227" s="291"/>
      <c r="E227" s="291"/>
      <c r="F227" s="291"/>
      <c r="G227" s="291"/>
      <c r="H227" s="291"/>
      <c r="I227" s="291"/>
      <c r="J227" s="291"/>
      <c r="K227" s="291"/>
      <c r="L227" s="291"/>
      <c r="M227" s="291"/>
      <c r="N227" s="291"/>
      <c r="O227" s="291"/>
      <c r="P227" s="291"/>
      <c r="Q227" s="291"/>
      <c r="R227" s="291"/>
      <c r="S227" s="291"/>
      <c r="T227" s="291"/>
      <c r="U227" s="291"/>
    </row>
    <row r="228" spans="1:21" s="8" customFormat="1" x14ac:dyDescent="0.35">
      <c r="A228" s="16"/>
      <c r="B228" s="16"/>
      <c r="C228" s="291"/>
      <c r="D228" s="291"/>
      <c r="E228" s="291"/>
      <c r="F228" s="291"/>
      <c r="G228" s="291"/>
      <c r="H228" s="291"/>
      <c r="I228" s="291"/>
      <c r="J228" s="291"/>
      <c r="K228" s="291"/>
      <c r="L228" s="291"/>
      <c r="M228" s="291"/>
      <c r="N228" s="291"/>
      <c r="O228" s="291"/>
      <c r="P228" s="291"/>
      <c r="Q228" s="291"/>
      <c r="R228" s="291"/>
      <c r="S228" s="291"/>
      <c r="T228" s="291"/>
      <c r="U228" s="291"/>
    </row>
    <row r="229" spans="1:21" s="8" customFormat="1" x14ac:dyDescent="0.35">
      <c r="A229" s="16"/>
      <c r="B229" s="16"/>
      <c r="C229" s="291"/>
      <c r="D229" s="291"/>
      <c r="E229" s="291"/>
      <c r="F229" s="291"/>
      <c r="G229" s="291"/>
      <c r="H229" s="291"/>
      <c r="I229" s="291"/>
      <c r="J229" s="291"/>
      <c r="K229" s="291"/>
      <c r="L229" s="291"/>
      <c r="M229" s="291"/>
      <c r="N229" s="291"/>
      <c r="O229" s="291"/>
      <c r="P229" s="291"/>
      <c r="Q229" s="291"/>
      <c r="R229" s="291"/>
      <c r="S229" s="291"/>
      <c r="T229" s="291"/>
      <c r="U229" s="291"/>
    </row>
    <row r="230" spans="1:21" s="8" customFormat="1" x14ac:dyDescent="0.35">
      <c r="A230" s="16"/>
      <c r="B230" s="16"/>
      <c r="C230" s="291"/>
      <c r="D230" s="291"/>
      <c r="E230" s="291"/>
      <c r="F230" s="291"/>
      <c r="G230" s="291"/>
      <c r="H230" s="291"/>
      <c r="I230" s="291"/>
      <c r="J230" s="291"/>
      <c r="K230" s="291"/>
      <c r="L230" s="291"/>
      <c r="M230" s="291"/>
      <c r="N230" s="291"/>
      <c r="O230" s="291"/>
      <c r="P230" s="291"/>
      <c r="Q230" s="291"/>
      <c r="R230" s="291"/>
      <c r="S230" s="291"/>
      <c r="T230" s="291"/>
      <c r="U230" s="291"/>
    </row>
    <row r="231" spans="1:21" s="8" customFormat="1" x14ac:dyDescent="0.35">
      <c r="A231" s="16"/>
      <c r="B231" s="16"/>
      <c r="C231" s="291"/>
      <c r="D231" s="291"/>
      <c r="E231" s="291"/>
      <c r="F231" s="291"/>
      <c r="G231" s="291"/>
      <c r="H231" s="291"/>
      <c r="I231" s="291"/>
      <c r="J231" s="291"/>
      <c r="K231" s="291"/>
      <c r="L231" s="291"/>
      <c r="M231" s="291"/>
      <c r="N231" s="291"/>
      <c r="O231" s="291"/>
      <c r="P231" s="291"/>
      <c r="Q231" s="291"/>
      <c r="R231" s="291"/>
      <c r="S231" s="291"/>
      <c r="T231" s="291"/>
      <c r="U231" s="291"/>
    </row>
    <row r="232" spans="1:21" s="8" customFormat="1" x14ac:dyDescent="0.35">
      <c r="A232" s="16"/>
      <c r="B232" s="16"/>
      <c r="C232" s="291"/>
      <c r="D232" s="291"/>
      <c r="E232" s="291"/>
      <c r="F232" s="291"/>
      <c r="G232" s="291"/>
      <c r="H232" s="291"/>
      <c r="I232" s="291"/>
      <c r="J232" s="291"/>
      <c r="K232" s="291"/>
      <c r="L232" s="291"/>
      <c r="M232" s="291"/>
      <c r="N232" s="291"/>
      <c r="O232" s="291"/>
      <c r="P232" s="291"/>
      <c r="Q232" s="291"/>
      <c r="R232" s="291"/>
      <c r="S232" s="291"/>
      <c r="T232" s="291"/>
      <c r="U232" s="291"/>
    </row>
    <row r="233" spans="1:21" s="8" customFormat="1" x14ac:dyDescent="0.35">
      <c r="A233" s="16"/>
      <c r="B233" s="16"/>
      <c r="C233" s="291"/>
      <c r="D233" s="291"/>
      <c r="E233" s="291"/>
      <c r="F233" s="291"/>
      <c r="G233" s="291"/>
      <c r="H233" s="291"/>
      <c r="I233" s="291"/>
      <c r="J233" s="291"/>
      <c r="K233" s="291"/>
      <c r="L233" s="291"/>
      <c r="M233" s="291"/>
      <c r="N233" s="291"/>
      <c r="O233" s="291"/>
      <c r="P233" s="291"/>
      <c r="Q233" s="291"/>
      <c r="R233" s="291"/>
      <c r="S233" s="291"/>
      <c r="T233" s="291"/>
      <c r="U233" s="291"/>
    </row>
    <row r="234" spans="1:21" s="8" customFormat="1" x14ac:dyDescent="0.35">
      <c r="A234" s="16"/>
      <c r="B234" s="16"/>
      <c r="C234" s="291"/>
      <c r="D234" s="291"/>
      <c r="E234" s="291"/>
      <c r="F234" s="291"/>
      <c r="G234" s="291"/>
      <c r="H234" s="291"/>
      <c r="I234" s="291"/>
      <c r="J234" s="291"/>
      <c r="K234" s="291"/>
      <c r="L234" s="291"/>
      <c r="M234" s="291"/>
      <c r="N234" s="291"/>
      <c r="O234" s="291"/>
      <c r="P234" s="291"/>
      <c r="Q234" s="291"/>
      <c r="R234" s="291"/>
      <c r="S234" s="291"/>
      <c r="T234" s="291"/>
      <c r="U234" s="291"/>
    </row>
    <row r="235" spans="1:21" s="8" customFormat="1" x14ac:dyDescent="0.35">
      <c r="A235" s="16"/>
      <c r="B235" s="16"/>
      <c r="C235" s="291"/>
      <c r="D235" s="291"/>
      <c r="E235" s="291"/>
      <c r="F235" s="291"/>
      <c r="G235" s="291"/>
      <c r="H235" s="291"/>
      <c r="I235" s="291"/>
      <c r="J235" s="291"/>
      <c r="K235" s="291"/>
      <c r="L235" s="291"/>
      <c r="M235" s="291"/>
      <c r="N235" s="291"/>
      <c r="O235" s="291"/>
      <c r="P235" s="291"/>
      <c r="Q235" s="291"/>
      <c r="R235" s="291"/>
      <c r="S235" s="291"/>
      <c r="T235" s="291"/>
      <c r="U235" s="291"/>
    </row>
    <row r="236" spans="1:21" s="8" customFormat="1" x14ac:dyDescent="0.35">
      <c r="A236" s="16"/>
      <c r="B236" s="16"/>
      <c r="C236" s="291"/>
      <c r="D236" s="291"/>
      <c r="E236" s="291"/>
      <c r="F236" s="291"/>
      <c r="G236" s="291"/>
      <c r="H236" s="291"/>
      <c r="I236" s="291"/>
      <c r="J236" s="291"/>
      <c r="K236" s="291"/>
      <c r="L236" s="291"/>
      <c r="M236" s="291"/>
      <c r="N236" s="291"/>
      <c r="O236" s="291"/>
      <c r="P236" s="291"/>
      <c r="Q236" s="291"/>
      <c r="R236" s="291"/>
      <c r="S236" s="291"/>
      <c r="T236" s="291"/>
      <c r="U236" s="291"/>
    </row>
    <row r="237" spans="1:21" s="8" customFormat="1" x14ac:dyDescent="0.35">
      <c r="A237" s="16"/>
      <c r="B237" s="16"/>
      <c r="C237" s="291"/>
      <c r="D237" s="291"/>
      <c r="E237" s="291"/>
      <c r="F237" s="291"/>
      <c r="G237" s="291"/>
      <c r="H237" s="291"/>
      <c r="I237" s="291"/>
      <c r="J237" s="291"/>
      <c r="K237" s="291"/>
      <c r="L237" s="291"/>
      <c r="M237" s="291"/>
      <c r="N237" s="291"/>
      <c r="O237" s="291"/>
      <c r="P237" s="291"/>
      <c r="Q237" s="291"/>
      <c r="R237" s="291"/>
      <c r="S237" s="291"/>
      <c r="T237" s="291"/>
      <c r="U237" s="291"/>
    </row>
    <row r="238" spans="1:21" s="8" customFormat="1" x14ac:dyDescent="0.35">
      <c r="A238" s="16"/>
      <c r="B238" s="16"/>
      <c r="C238" s="291"/>
      <c r="D238" s="291"/>
      <c r="E238" s="291"/>
      <c r="F238" s="291"/>
      <c r="G238" s="291"/>
      <c r="H238" s="291"/>
      <c r="I238" s="291"/>
      <c r="J238" s="291"/>
      <c r="K238" s="291"/>
      <c r="L238" s="291"/>
      <c r="M238" s="291"/>
      <c r="N238" s="291"/>
      <c r="O238" s="291"/>
      <c r="P238" s="291"/>
      <c r="Q238" s="291"/>
      <c r="R238" s="291"/>
      <c r="S238" s="291"/>
      <c r="T238" s="291"/>
      <c r="U238" s="291"/>
    </row>
    <row r="239" spans="1:21" s="8" customFormat="1" x14ac:dyDescent="0.35">
      <c r="A239" s="16"/>
      <c r="B239" s="16"/>
      <c r="C239" s="291"/>
      <c r="D239" s="291"/>
      <c r="E239" s="291"/>
      <c r="F239" s="291"/>
      <c r="G239" s="291"/>
      <c r="H239" s="291"/>
      <c r="I239" s="291"/>
      <c r="J239" s="291"/>
      <c r="K239" s="291"/>
      <c r="L239" s="291"/>
      <c r="M239" s="291"/>
      <c r="N239" s="291"/>
      <c r="O239" s="291"/>
      <c r="P239" s="291"/>
      <c r="Q239" s="291"/>
      <c r="R239" s="291"/>
      <c r="S239" s="291"/>
      <c r="T239" s="291"/>
      <c r="U239" s="291"/>
    </row>
    <row r="240" spans="1:21" s="8" customFormat="1" x14ac:dyDescent="0.35">
      <c r="A240" s="16"/>
      <c r="B240" s="16"/>
      <c r="C240" s="291"/>
      <c r="D240" s="291"/>
      <c r="E240" s="291"/>
      <c r="F240" s="291"/>
      <c r="G240" s="291"/>
      <c r="H240" s="291"/>
      <c r="I240" s="291"/>
      <c r="J240" s="291"/>
      <c r="K240" s="291"/>
      <c r="L240" s="291"/>
      <c r="M240" s="291"/>
      <c r="N240" s="291"/>
      <c r="O240" s="291"/>
      <c r="P240" s="291"/>
      <c r="Q240" s="291"/>
      <c r="R240" s="291"/>
      <c r="S240" s="291"/>
      <c r="T240" s="291"/>
      <c r="U240" s="291"/>
    </row>
    <row r="241" spans="1:21" s="8" customFormat="1" x14ac:dyDescent="0.35">
      <c r="A241" s="16"/>
      <c r="B241" s="16"/>
      <c r="C241" s="291"/>
      <c r="D241" s="291"/>
      <c r="E241" s="291"/>
      <c r="F241" s="291"/>
      <c r="G241" s="291"/>
      <c r="H241" s="291"/>
      <c r="I241" s="291"/>
      <c r="J241" s="291"/>
      <c r="K241" s="291"/>
      <c r="L241" s="291"/>
      <c r="M241" s="291"/>
      <c r="N241" s="291"/>
      <c r="O241" s="291"/>
      <c r="P241" s="291"/>
      <c r="Q241" s="291"/>
      <c r="R241" s="291"/>
      <c r="S241" s="291"/>
      <c r="T241" s="291"/>
      <c r="U241" s="291"/>
    </row>
    <row r="242" spans="1:21" s="8" customFormat="1" x14ac:dyDescent="0.35">
      <c r="A242" s="16"/>
      <c r="B242" s="16"/>
      <c r="C242" s="291"/>
      <c r="D242" s="291"/>
      <c r="E242" s="291"/>
      <c r="F242" s="291"/>
      <c r="G242" s="291"/>
      <c r="H242" s="291"/>
      <c r="I242" s="291"/>
      <c r="J242" s="291"/>
      <c r="K242" s="291"/>
      <c r="L242" s="291"/>
      <c r="M242" s="291"/>
      <c r="N242" s="291"/>
      <c r="O242" s="291"/>
      <c r="P242" s="291"/>
      <c r="Q242" s="291"/>
      <c r="R242" s="291"/>
      <c r="S242" s="291"/>
      <c r="T242" s="291"/>
      <c r="U242" s="291"/>
    </row>
    <row r="243" spans="1:21" s="8" customFormat="1" x14ac:dyDescent="0.35">
      <c r="A243" s="16"/>
      <c r="B243" s="16"/>
      <c r="C243" s="291"/>
      <c r="D243" s="291"/>
      <c r="E243" s="291"/>
      <c r="F243" s="291"/>
      <c r="G243" s="291"/>
      <c r="H243" s="291"/>
      <c r="I243" s="291"/>
      <c r="J243" s="291"/>
      <c r="K243" s="291"/>
      <c r="L243" s="291"/>
      <c r="M243" s="291"/>
      <c r="N243" s="291"/>
      <c r="O243" s="291"/>
      <c r="P243" s="291"/>
      <c r="Q243" s="291"/>
      <c r="R243" s="291"/>
      <c r="S243" s="291"/>
      <c r="T243" s="291"/>
      <c r="U243" s="291"/>
    </row>
    <row r="244" spans="1:21" s="8" customFormat="1" x14ac:dyDescent="0.35">
      <c r="A244" s="16"/>
      <c r="B244" s="16"/>
      <c r="C244" s="291"/>
      <c r="D244" s="291"/>
      <c r="E244" s="291"/>
      <c r="F244" s="291"/>
      <c r="G244" s="291"/>
      <c r="H244" s="291"/>
      <c r="I244" s="291"/>
      <c r="J244" s="291"/>
      <c r="K244" s="291"/>
      <c r="L244" s="291"/>
      <c r="M244" s="291"/>
      <c r="N244" s="291"/>
      <c r="O244" s="291"/>
      <c r="P244" s="291"/>
      <c r="Q244" s="291"/>
      <c r="R244" s="291"/>
      <c r="S244" s="291"/>
      <c r="T244" s="291"/>
      <c r="U244" s="291"/>
    </row>
    <row r="245" spans="1:21" s="8" customFormat="1" x14ac:dyDescent="0.35">
      <c r="A245" s="16"/>
      <c r="B245" s="16"/>
      <c r="C245" s="291"/>
      <c r="D245" s="291"/>
      <c r="E245" s="291"/>
      <c r="F245" s="291"/>
      <c r="G245" s="291"/>
      <c r="H245" s="291"/>
      <c r="I245" s="291"/>
      <c r="J245" s="291"/>
      <c r="K245" s="291"/>
      <c r="L245" s="291"/>
      <c r="M245" s="291"/>
      <c r="N245" s="291"/>
      <c r="O245" s="291"/>
      <c r="P245" s="291"/>
      <c r="Q245" s="291"/>
      <c r="R245" s="291"/>
      <c r="S245" s="291"/>
      <c r="T245" s="291"/>
      <c r="U245" s="291"/>
    </row>
    <row r="246" spans="1:21" s="8" customFormat="1" x14ac:dyDescent="0.35">
      <c r="A246" s="16"/>
      <c r="B246" s="16"/>
      <c r="C246" s="291"/>
      <c r="D246" s="291"/>
      <c r="E246" s="291"/>
      <c r="F246" s="291"/>
      <c r="G246" s="291"/>
      <c r="H246" s="291"/>
      <c r="I246" s="291"/>
      <c r="J246" s="291"/>
      <c r="K246" s="291"/>
      <c r="L246" s="291"/>
      <c r="M246" s="291"/>
      <c r="N246" s="291"/>
      <c r="O246" s="291"/>
      <c r="P246" s="291"/>
      <c r="Q246" s="291"/>
      <c r="R246" s="291"/>
      <c r="S246" s="291"/>
      <c r="T246" s="291"/>
      <c r="U246" s="291"/>
    </row>
    <row r="247" spans="1:21" s="8" customFormat="1" x14ac:dyDescent="0.35">
      <c r="A247" s="16"/>
      <c r="B247" s="16"/>
      <c r="C247" s="291"/>
      <c r="D247" s="291"/>
      <c r="E247" s="291"/>
      <c r="F247" s="291"/>
      <c r="G247" s="291"/>
      <c r="H247" s="291"/>
      <c r="I247" s="291"/>
      <c r="J247" s="291"/>
      <c r="K247" s="291"/>
      <c r="L247" s="291"/>
      <c r="M247" s="291"/>
      <c r="N247" s="291"/>
      <c r="O247" s="291"/>
      <c r="P247" s="291"/>
      <c r="Q247" s="291"/>
      <c r="R247" s="291"/>
      <c r="S247" s="291"/>
      <c r="T247" s="291"/>
      <c r="U247" s="291"/>
    </row>
    <row r="248" spans="1:21" s="8" customFormat="1" x14ac:dyDescent="0.35">
      <c r="A248" s="16"/>
      <c r="B248" s="16"/>
      <c r="C248" s="291"/>
      <c r="D248" s="291"/>
      <c r="E248" s="291"/>
      <c r="F248" s="291"/>
      <c r="G248" s="291"/>
      <c r="H248" s="291"/>
      <c r="I248" s="291"/>
      <c r="J248" s="291"/>
      <c r="K248" s="291"/>
      <c r="L248" s="291"/>
      <c r="M248" s="291"/>
      <c r="N248" s="291"/>
      <c r="O248" s="291"/>
      <c r="P248" s="291"/>
      <c r="Q248" s="291"/>
      <c r="R248" s="291"/>
      <c r="S248" s="291"/>
      <c r="T248" s="291"/>
      <c r="U248" s="291"/>
    </row>
    <row r="249" spans="1:21" s="8" customFormat="1" x14ac:dyDescent="0.35">
      <c r="A249" s="16"/>
      <c r="B249" s="16"/>
      <c r="C249" s="291"/>
      <c r="D249" s="291"/>
      <c r="E249" s="291"/>
      <c r="F249" s="291"/>
      <c r="G249" s="291"/>
      <c r="H249" s="291"/>
      <c r="I249" s="291"/>
      <c r="J249" s="291"/>
      <c r="K249" s="291"/>
      <c r="L249" s="291"/>
      <c r="M249" s="291"/>
      <c r="N249" s="291"/>
      <c r="O249" s="291"/>
      <c r="P249" s="291"/>
      <c r="Q249" s="291"/>
      <c r="R249" s="291"/>
      <c r="S249" s="291"/>
      <c r="T249" s="291"/>
      <c r="U249" s="291"/>
    </row>
    <row r="250" spans="1:21" s="8" customFormat="1" x14ac:dyDescent="0.35">
      <c r="A250" s="16"/>
      <c r="B250" s="16"/>
      <c r="C250" s="291"/>
      <c r="D250" s="291"/>
      <c r="E250" s="291"/>
      <c r="F250" s="291"/>
      <c r="G250" s="291"/>
      <c r="H250" s="291"/>
      <c r="I250" s="291"/>
      <c r="J250" s="291"/>
      <c r="K250" s="291"/>
      <c r="L250" s="291"/>
      <c r="M250" s="291"/>
      <c r="N250" s="291"/>
      <c r="O250" s="291"/>
      <c r="P250" s="291"/>
      <c r="Q250" s="291"/>
      <c r="R250" s="291"/>
      <c r="S250" s="291"/>
      <c r="T250" s="291"/>
      <c r="U250" s="291"/>
    </row>
    <row r="251" spans="1:21" s="8" customFormat="1" x14ac:dyDescent="0.35">
      <c r="A251" s="16"/>
      <c r="B251" s="16"/>
      <c r="C251" s="291"/>
      <c r="D251" s="291"/>
      <c r="E251" s="291"/>
      <c r="F251" s="291"/>
      <c r="G251" s="291"/>
      <c r="H251" s="291"/>
      <c r="I251" s="291"/>
      <c r="J251" s="291"/>
      <c r="K251" s="291"/>
      <c r="L251" s="291"/>
      <c r="M251" s="291"/>
      <c r="N251" s="291"/>
      <c r="O251" s="291"/>
      <c r="P251" s="291"/>
      <c r="Q251" s="291"/>
      <c r="R251" s="291"/>
      <c r="S251" s="291"/>
      <c r="T251" s="291"/>
      <c r="U251" s="291"/>
    </row>
    <row r="252" spans="1:21" s="8" customFormat="1" x14ac:dyDescent="0.35">
      <c r="A252" s="16"/>
      <c r="B252" s="16"/>
      <c r="C252" s="291"/>
      <c r="D252" s="291"/>
      <c r="E252" s="291"/>
      <c r="F252" s="291"/>
      <c r="G252" s="291"/>
      <c r="H252" s="291"/>
      <c r="I252" s="291"/>
      <c r="J252" s="291"/>
      <c r="K252" s="291"/>
      <c r="L252" s="291"/>
      <c r="M252" s="291"/>
      <c r="N252" s="291"/>
      <c r="O252" s="291"/>
      <c r="P252" s="291"/>
      <c r="Q252" s="291"/>
      <c r="R252" s="291"/>
      <c r="S252" s="291"/>
      <c r="T252" s="291"/>
      <c r="U252" s="291"/>
    </row>
    <row r="253" spans="1:21" s="8" customFormat="1" x14ac:dyDescent="0.35">
      <c r="A253" s="16"/>
      <c r="B253" s="16"/>
      <c r="C253" s="291"/>
      <c r="D253" s="291"/>
      <c r="E253" s="291"/>
      <c r="F253" s="291"/>
      <c r="G253" s="291"/>
      <c r="H253" s="291"/>
      <c r="I253" s="291"/>
      <c r="J253" s="291"/>
      <c r="K253" s="291"/>
      <c r="L253" s="291"/>
      <c r="M253" s="291"/>
      <c r="N253" s="291"/>
      <c r="O253" s="291"/>
      <c r="P253" s="291"/>
      <c r="Q253" s="291"/>
      <c r="R253" s="291"/>
      <c r="S253" s="291"/>
      <c r="T253" s="291"/>
      <c r="U253" s="291"/>
    </row>
    <row r="254" spans="1:21" s="8" customFormat="1" x14ac:dyDescent="0.35">
      <c r="A254" s="16"/>
      <c r="B254" s="16"/>
      <c r="C254" s="291"/>
      <c r="D254" s="291"/>
      <c r="E254" s="291"/>
      <c r="F254" s="291"/>
      <c r="G254" s="291"/>
      <c r="H254" s="291"/>
      <c r="I254" s="291"/>
      <c r="J254" s="291"/>
      <c r="K254" s="291"/>
      <c r="L254" s="291"/>
      <c r="M254" s="291"/>
      <c r="N254" s="291"/>
      <c r="O254" s="291"/>
      <c r="P254" s="291"/>
      <c r="Q254" s="291"/>
      <c r="R254" s="291"/>
      <c r="S254" s="291"/>
      <c r="T254" s="291"/>
      <c r="U254" s="291"/>
    </row>
    <row r="255" spans="1:21" s="8" customFormat="1" x14ac:dyDescent="0.35">
      <c r="A255" s="16"/>
      <c r="B255" s="16"/>
      <c r="C255" s="291"/>
      <c r="D255" s="291"/>
      <c r="E255" s="291"/>
      <c r="F255" s="291"/>
      <c r="G255" s="291"/>
      <c r="H255" s="291"/>
      <c r="I255" s="291"/>
      <c r="J255" s="291"/>
      <c r="K255" s="291"/>
      <c r="L255" s="291"/>
      <c r="M255" s="291"/>
      <c r="N255" s="291"/>
      <c r="O255" s="291"/>
      <c r="P255" s="291"/>
      <c r="Q255" s="291"/>
      <c r="R255" s="291"/>
      <c r="S255" s="291"/>
      <c r="T255" s="291"/>
      <c r="U255" s="291"/>
    </row>
    <row r="256" spans="1:21" s="8" customFormat="1" x14ac:dyDescent="0.35">
      <c r="A256" s="16"/>
      <c r="B256" s="16"/>
      <c r="C256" s="291"/>
      <c r="D256" s="291"/>
      <c r="E256" s="291"/>
      <c r="F256" s="291"/>
      <c r="G256" s="291"/>
      <c r="H256" s="291"/>
      <c r="I256" s="291"/>
      <c r="J256" s="291"/>
      <c r="K256" s="291"/>
      <c r="L256" s="291"/>
      <c r="M256" s="291"/>
      <c r="N256" s="291"/>
      <c r="O256" s="291"/>
      <c r="P256" s="291"/>
      <c r="Q256" s="291"/>
      <c r="R256" s="291"/>
      <c r="S256" s="291"/>
      <c r="T256" s="291"/>
      <c r="U256" s="291"/>
    </row>
    <row r="257" spans="1:21" s="8" customFormat="1" x14ac:dyDescent="0.35">
      <c r="A257" s="16"/>
      <c r="B257" s="16"/>
      <c r="C257" s="291"/>
      <c r="D257" s="291"/>
      <c r="E257" s="291"/>
      <c r="F257" s="291"/>
      <c r="G257" s="291"/>
      <c r="H257" s="291"/>
      <c r="I257" s="291"/>
      <c r="J257" s="291"/>
      <c r="K257" s="291"/>
      <c r="L257" s="291"/>
      <c r="M257" s="291"/>
      <c r="N257" s="291"/>
      <c r="O257" s="291"/>
      <c r="P257" s="291"/>
      <c r="Q257" s="291"/>
      <c r="R257" s="291"/>
      <c r="S257" s="291"/>
      <c r="T257" s="291"/>
      <c r="U257" s="291"/>
    </row>
    <row r="258" spans="1:21" s="8" customFormat="1" x14ac:dyDescent="0.35">
      <c r="A258" s="16"/>
      <c r="B258" s="16"/>
      <c r="C258" s="291"/>
      <c r="D258" s="291"/>
      <c r="E258" s="291"/>
      <c r="F258" s="291"/>
      <c r="G258" s="291"/>
      <c r="H258" s="291"/>
      <c r="I258" s="291"/>
      <c r="J258" s="291"/>
      <c r="K258" s="291"/>
      <c r="L258" s="291"/>
      <c r="M258" s="291"/>
      <c r="N258" s="291"/>
      <c r="O258" s="291"/>
      <c r="P258" s="291"/>
      <c r="Q258" s="291"/>
      <c r="R258" s="291"/>
      <c r="S258" s="291"/>
      <c r="T258" s="291"/>
      <c r="U258" s="291"/>
    </row>
    <row r="259" spans="1:21" s="8" customFormat="1" x14ac:dyDescent="0.35">
      <c r="A259" s="16"/>
      <c r="B259" s="16"/>
      <c r="C259" s="291"/>
      <c r="D259" s="291"/>
      <c r="E259" s="291"/>
      <c r="F259" s="291"/>
      <c r="G259" s="291"/>
      <c r="H259" s="291"/>
      <c r="I259" s="291"/>
      <c r="J259" s="291"/>
      <c r="K259" s="291"/>
      <c r="L259" s="291"/>
      <c r="M259" s="291"/>
      <c r="N259" s="291"/>
      <c r="O259" s="291"/>
      <c r="P259" s="291"/>
      <c r="Q259" s="291"/>
      <c r="R259" s="291"/>
      <c r="S259" s="291"/>
      <c r="T259" s="291"/>
      <c r="U259" s="291"/>
    </row>
    <row r="260" spans="1:21" s="8" customFormat="1" x14ac:dyDescent="0.35">
      <c r="A260" s="16"/>
      <c r="B260" s="16"/>
      <c r="C260" s="291"/>
      <c r="D260" s="291"/>
      <c r="E260" s="291"/>
      <c r="F260" s="291"/>
      <c r="G260" s="291"/>
      <c r="H260" s="291"/>
      <c r="I260" s="291"/>
      <c r="J260" s="291"/>
      <c r="K260" s="291"/>
      <c r="L260" s="291"/>
      <c r="M260" s="291"/>
      <c r="N260" s="291"/>
      <c r="O260" s="291"/>
      <c r="P260" s="291"/>
      <c r="Q260" s="291"/>
      <c r="R260" s="291"/>
      <c r="S260" s="291"/>
      <c r="T260" s="291"/>
      <c r="U260" s="291"/>
    </row>
    <row r="261" spans="1:21" s="8" customFormat="1" x14ac:dyDescent="0.35">
      <c r="A261" s="16"/>
      <c r="B261" s="16"/>
      <c r="C261" s="291"/>
      <c r="D261" s="291"/>
      <c r="E261" s="291"/>
      <c r="F261" s="291"/>
      <c r="G261" s="291"/>
      <c r="H261" s="291"/>
      <c r="I261" s="291"/>
      <c r="J261" s="291"/>
      <c r="K261" s="291"/>
      <c r="L261" s="291"/>
      <c r="M261" s="291"/>
      <c r="N261" s="291"/>
      <c r="O261" s="291"/>
      <c r="P261" s="291"/>
      <c r="Q261" s="291"/>
      <c r="R261" s="291"/>
      <c r="S261" s="291"/>
      <c r="T261" s="291"/>
      <c r="U261" s="291"/>
    </row>
    <row r="262" spans="1:21" s="8" customFormat="1" x14ac:dyDescent="0.35">
      <c r="A262" s="16"/>
      <c r="B262" s="16"/>
      <c r="C262" s="291"/>
      <c r="D262" s="291"/>
      <c r="E262" s="291"/>
      <c r="F262" s="291"/>
      <c r="G262" s="291"/>
      <c r="H262" s="291"/>
      <c r="I262" s="291"/>
      <c r="J262" s="291"/>
      <c r="K262" s="291"/>
      <c r="L262" s="291"/>
      <c r="M262" s="291"/>
      <c r="N262" s="291"/>
      <c r="O262" s="291"/>
      <c r="P262" s="291"/>
      <c r="Q262" s="291"/>
      <c r="R262" s="291"/>
      <c r="S262" s="291"/>
      <c r="T262" s="291"/>
      <c r="U262" s="291"/>
    </row>
    <row r="263" spans="1:21" s="8" customFormat="1" x14ac:dyDescent="0.35">
      <c r="A263" s="16"/>
      <c r="B263" s="16"/>
      <c r="C263" s="291"/>
      <c r="D263" s="291"/>
      <c r="E263" s="291"/>
      <c r="F263" s="291"/>
      <c r="G263" s="291"/>
      <c r="H263" s="291"/>
      <c r="I263" s="291"/>
      <c r="J263" s="291"/>
      <c r="K263" s="291"/>
      <c r="L263" s="291"/>
      <c r="M263" s="291"/>
      <c r="N263" s="291"/>
      <c r="O263" s="291"/>
      <c r="P263" s="291"/>
      <c r="Q263" s="291"/>
      <c r="R263" s="291"/>
      <c r="S263" s="291"/>
      <c r="T263" s="291"/>
      <c r="U263" s="291"/>
    </row>
    <row r="264" spans="1:21" s="8" customFormat="1" x14ac:dyDescent="0.35">
      <c r="A264" s="16"/>
      <c r="B264" s="16"/>
      <c r="C264" s="291"/>
      <c r="D264" s="291"/>
      <c r="E264" s="291"/>
      <c r="F264" s="291"/>
      <c r="G264" s="291"/>
      <c r="H264" s="291"/>
      <c r="I264" s="291"/>
      <c r="J264" s="291"/>
      <c r="K264" s="291"/>
      <c r="L264" s="291"/>
      <c r="M264" s="291"/>
      <c r="N264" s="291"/>
      <c r="O264" s="291"/>
      <c r="P264" s="291"/>
      <c r="Q264" s="291"/>
      <c r="R264" s="291"/>
      <c r="S264" s="291"/>
      <c r="T264" s="291"/>
      <c r="U264" s="291"/>
    </row>
    <row r="265" spans="1:21" s="8" customFormat="1" x14ac:dyDescent="0.35">
      <c r="A265" s="16"/>
      <c r="B265" s="16"/>
      <c r="C265" s="291"/>
      <c r="D265" s="291"/>
      <c r="E265" s="291"/>
      <c r="F265" s="291"/>
      <c r="G265" s="291"/>
      <c r="H265" s="291"/>
      <c r="I265" s="291"/>
      <c r="J265" s="291"/>
      <c r="K265" s="291"/>
      <c r="L265" s="291"/>
      <c r="M265" s="291"/>
      <c r="N265" s="291"/>
      <c r="O265" s="291"/>
      <c r="P265" s="291"/>
      <c r="Q265" s="291"/>
      <c r="R265" s="291"/>
      <c r="S265" s="291"/>
      <c r="T265" s="291"/>
      <c r="U265" s="291"/>
    </row>
    <row r="266" spans="1:21" s="8" customFormat="1" x14ac:dyDescent="0.35">
      <c r="A266" s="16"/>
      <c r="B266" s="16"/>
      <c r="C266" s="291"/>
      <c r="D266" s="291"/>
      <c r="E266" s="291"/>
      <c r="F266" s="291"/>
      <c r="G266" s="291"/>
      <c r="H266" s="291"/>
      <c r="I266" s="291"/>
      <c r="J266" s="291"/>
      <c r="K266" s="291"/>
      <c r="L266" s="291"/>
      <c r="M266" s="291"/>
      <c r="N266" s="291"/>
      <c r="O266" s="291"/>
      <c r="P266" s="291"/>
      <c r="Q266" s="291"/>
      <c r="R266" s="291"/>
      <c r="S266" s="291"/>
      <c r="T266" s="291"/>
      <c r="U266" s="291"/>
    </row>
    <row r="267" spans="1:21" s="8" customFormat="1" x14ac:dyDescent="0.35">
      <c r="A267" s="16"/>
      <c r="B267" s="16"/>
      <c r="C267" s="291"/>
      <c r="D267" s="291"/>
      <c r="E267" s="291"/>
      <c r="F267" s="291"/>
      <c r="G267" s="291"/>
      <c r="H267" s="291"/>
      <c r="I267" s="291"/>
      <c r="J267" s="291"/>
      <c r="K267" s="291"/>
      <c r="L267" s="291"/>
      <c r="M267" s="291"/>
      <c r="N267" s="291"/>
      <c r="O267" s="291"/>
      <c r="P267" s="291"/>
      <c r="Q267" s="291"/>
      <c r="R267" s="291"/>
      <c r="S267" s="291"/>
      <c r="T267" s="291"/>
      <c r="U267" s="291"/>
    </row>
    <row r="268" spans="1:21" s="8" customFormat="1" x14ac:dyDescent="0.35">
      <c r="A268" s="16"/>
      <c r="B268" s="16"/>
      <c r="C268" s="291"/>
      <c r="D268" s="291"/>
      <c r="E268" s="291"/>
      <c r="F268" s="291"/>
      <c r="G268" s="291"/>
      <c r="H268" s="291"/>
      <c r="I268" s="291"/>
      <c r="J268" s="291"/>
      <c r="K268" s="291"/>
      <c r="L268" s="291"/>
      <c r="M268" s="291"/>
      <c r="N268" s="291"/>
      <c r="O268" s="291"/>
      <c r="P268" s="291"/>
      <c r="Q268" s="291"/>
      <c r="R268" s="291"/>
      <c r="S268" s="291"/>
      <c r="T268" s="291"/>
      <c r="U268" s="291"/>
    </row>
    <row r="269" spans="1:21" s="8" customFormat="1" x14ac:dyDescent="0.35">
      <c r="A269" s="16"/>
      <c r="B269" s="16"/>
      <c r="C269" s="291"/>
      <c r="D269" s="291"/>
      <c r="E269" s="291"/>
      <c r="F269" s="291"/>
      <c r="G269" s="291"/>
      <c r="H269" s="291"/>
      <c r="I269" s="291"/>
      <c r="J269" s="291"/>
      <c r="K269" s="291"/>
      <c r="L269" s="291"/>
      <c r="M269" s="291"/>
      <c r="N269" s="291"/>
      <c r="O269" s="291"/>
      <c r="P269" s="291"/>
      <c r="Q269" s="291"/>
      <c r="R269" s="291"/>
      <c r="S269" s="291"/>
      <c r="T269" s="291"/>
      <c r="U269" s="291"/>
    </row>
    <row r="270" spans="1:21" s="8" customFormat="1" x14ac:dyDescent="0.35">
      <c r="A270" s="16"/>
      <c r="B270" s="16"/>
      <c r="C270" s="291"/>
      <c r="D270" s="291"/>
      <c r="E270" s="291"/>
      <c r="F270" s="291"/>
      <c r="G270" s="291"/>
      <c r="H270" s="291"/>
      <c r="I270" s="291"/>
      <c r="J270" s="291"/>
      <c r="K270" s="291"/>
      <c r="L270" s="291"/>
      <c r="M270" s="291"/>
      <c r="N270" s="291"/>
      <c r="O270" s="291"/>
      <c r="P270" s="291"/>
      <c r="Q270" s="291"/>
      <c r="R270" s="291"/>
      <c r="S270" s="291"/>
      <c r="T270" s="291"/>
      <c r="U270" s="291"/>
    </row>
    <row r="271" spans="1:21" s="8" customFormat="1" x14ac:dyDescent="0.35">
      <c r="A271" s="16"/>
      <c r="B271" s="16"/>
      <c r="C271" s="291"/>
      <c r="D271" s="291"/>
      <c r="E271" s="291"/>
      <c r="F271" s="291"/>
      <c r="G271" s="291"/>
      <c r="H271" s="291"/>
      <c r="I271" s="291"/>
      <c r="J271" s="291"/>
      <c r="K271" s="291"/>
      <c r="L271" s="291"/>
      <c r="M271" s="291"/>
      <c r="N271" s="291"/>
      <c r="O271" s="291"/>
      <c r="P271" s="291"/>
      <c r="Q271" s="291"/>
      <c r="R271" s="291"/>
      <c r="S271" s="291"/>
      <c r="T271" s="291"/>
      <c r="U271" s="291"/>
    </row>
    <row r="272" spans="1:21" s="8" customFormat="1" x14ac:dyDescent="0.35">
      <c r="A272" s="16"/>
      <c r="B272" s="16"/>
      <c r="C272" s="291"/>
      <c r="D272" s="291"/>
      <c r="E272" s="291"/>
      <c r="F272" s="291"/>
      <c r="G272" s="291"/>
      <c r="H272" s="291"/>
      <c r="I272" s="291"/>
      <c r="J272" s="291"/>
      <c r="K272" s="291"/>
      <c r="L272" s="291"/>
      <c r="M272" s="291"/>
      <c r="N272" s="291"/>
      <c r="O272" s="291"/>
      <c r="P272" s="291"/>
      <c r="Q272" s="291"/>
      <c r="R272" s="291"/>
      <c r="S272" s="291"/>
      <c r="T272" s="291"/>
      <c r="U272" s="291"/>
    </row>
    <row r="273" spans="1:21" s="8" customFormat="1" x14ac:dyDescent="0.35">
      <c r="A273" s="16"/>
      <c r="B273" s="16"/>
      <c r="C273" s="291"/>
      <c r="D273" s="291"/>
      <c r="E273" s="291"/>
      <c r="F273" s="291"/>
      <c r="G273" s="291"/>
      <c r="H273" s="291"/>
      <c r="I273" s="291"/>
      <c r="J273" s="291"/>
      <c r="K273" s="291"/>
      <c r="L273" s="291"/>
      <c r="M273" s="291"/>
      <c r="N273" s="291"/>
      <c r="O273" s="291"/>
      <c r="P273" s="291"/>
      <c r="Q273" s="291"/>
      <c r="R273" s="291"/>
      <c r="S273" s="291"/>
      <c r="T273" s="291"/>
      <c r="U273" s="291"/>
    </row>
    <row r="274" spans="1:21" s="8" customFormat="1" x14ac:dyDescent="0.35">
      <c r="A274" s="16"/>
      <c r="B274" s="16"/>
      <c r="C274" s="291"/>
      <c r="D274" s="291"/>
      <c r="E274" s="291"/>
      <c r="F274" s="291"/>
      <c r="G274" s="291"/>
      <c r="H274" s="291"/>
      <c r="I274" s="291"/>
      <c r="J274" s="291"/>
      <c r="K274" s="291"/>
      <c r="L274" s="291"/>
      <c r="M274" s="291"/>
      <c r="N274" s="291"/>
      <c r="O274" s="291"/>
      <c r="P274" s="291"/>
      <c r="Q274" s="291"/>
      <c r="R274" s="291"/>
      <c r="S274" s="291"/>
      <c r="T274" s="291"/>
      <c r="U274" s="291"/>
    </row>
    <row r="275" spans="1:21" s="8" customFormat="1" x14ac:dyDescent="0.35">
      <c r="A275" s="16"/>
      <c r="B275" s="16"/>
      <c r="C275" s="291"/>
      <c r="D275" s="291"/>
      <c r="E275" s="291"/>
      <c r="F275" s="291"/>
      <c r="G275" s="291"/>
      <c r="H275" s="291"/>
      <c r="I275" s="291"/>
      <c r="J275" s="291"/>
      <c r="K275" s="291"/>
      <c r="L275" s="291"/>
      <c r="M275" s="291"/>
      <c r="N275" s="291"/>
      <c r="O275" s="291"/>
      <c r="P275" s="291"/>
      <c r="Q275" s="291"/>
      <c r="R275" s="291"/>
      <c r="S275" s="291"/>
      <c r="T275" s="291"/>
      <c r="U275" s="291"/>
    </row>
    <row r="276" spans="1:21" s="8" customFormat="1" x14ac:dyDescent="0.35">
      <c r="A276" s="16"/>
      <c r="B276" s="16"/>
      <c r="C276" s="291"/>
      <c r="D276" s="291"/>
      <c r="E276" s="291"/>
      <c r="F276" s="291"/>
      <c r="G276" s="291"/>
      <c r="H276" s="291"/>
      <c r="I276" s="291"/>
      <c r="J276" s="291"/>
      <c r="K276" s="291"/>
      <c r="L276" s="291"/>
      <c r="M276" s="291"/>
      <c r="N276" s="291"/>
      <c r="O276" s="291"/>
      <c r="P276" s="291"/>
      <c r="Q276" s="291"/>
      <c r="R276" s="291"/>
      <c r="S276" s="291"/>
      <c r="T276" s="291"/>
      <c r="U276" s="291"/>
    </row>
    <row r="277" spans="1:21" s="8" customFormat="1" x14ac:dyDescent="0.35">
      <c r="A277" s="16"/>
      <c r="B277" s="16"/>
      <c r="C277" s="291"/>
      <c r="D277" s="291"/>
      <c r="E277" s="291"/>
      <c r="F277" s="291"/>
      <c r="G277" s="291"/>
      <c r="H277" s="291"/>
      <c r="I277" s="291"/>
      <c r="J277" s="291"/>
      <c r="K277" s="291"/>
      <c r="L277" s="291"/>
      <c r="M277" s="291"/>
      <c r="N277" s="291"/>
      <c r="O277" s="291"/>
      <c r="P277" s="291"/>
      <c r="Q277" s="291"/>
      <c r="R277" s="291"/>
      <c r="S277" s="291"/>
      <c r="T277" s="291"/>
      <c r="U277" s="291"/>
    </row>
    <row r="278" spans="1:21" s="8" customFormat="1" x14ac:dyDescent="0.35">
      <c r="A278" s="16"/>
      <c r="B278" s="16"/>
      <c r="C278" s="291"/>
      <c r="D278" s="291"/>
      <c r="E278" s="291"/>
      <c r="F278" s="291"/>
      <c r="G278" s="291"/>
      <c r="H278" s="291"/>
      <c r="I278" s="291"/>
      <c r="J278" s="291"/>
      <c r="K278" s="291"/>
      <c r="L278" s="291"/>
      <c r="M278" s="291"/>
      <c r="N278" s="291"/>
      <c r="O278" s="291"/>
      <c r="P278" s="291"/>
      <c r="Q278" s="291"/>
      <c r="R278" s="291"/>
      <c r="S278" s="291"/>
      <c r="T278" s="291"/>
      <c r="U278" s="291"/>
    </row>
    <row r="279" spans="1:21" s="8" customFormat="1" x14ac:dyDescent="0.35">
      <c r="A279" s="16"/>
      <c r="B279" s="16"/>
      <c r="C279" s="291"/>
      <c r="D279" s="291"/>
      <c r="E279" s="291"/>
      <c r="F279" s="291"/>
      <c r="G279" s="291"/>
      <c r="H279" s="291"/>
      <c r="I279" s="291"/>
      <c r="J279" s="291"/>
      <c r="K279" s="291"/>
      <c r="L279" s="291"/>
      <c r="M279" s="291"/>
      <c r="N279" s="291"/>
      <c r="O279" s="291"/>
      <c r="P279" s="291"/>
      <c r="Q279" s="291"/>
      <c r="R279" s="291"/>
      <c r="S279" s="291"/>
      <c r="T279" s="291"/>
      <c r="U279" s="291"/>
    </row>
    <row r="280" spans="1:21" s="8" customFormat="1" x14ac:dyDescent="0.35">
      <c r="A280" s="16"/>
      <c r="B280" s="16"/>
      <c r="C280" s="291"/>
      <c r="D280" s="291"/>
      <c r="E280" s="291"/>
      <c r="F280" s="291"/>
      <c r="G280" s="291"/>
      <c r="H280" s="291"/>
      <c r="I280" s="291"/>
      <c r="J280" s="291"/>
      <c r="K280" s="291"/>
      <c r="L280" s="291"/>
      <c r="M280" s="291"/>
      <c r="N280" s="291"/>
      <c r="O280" s="291"/>
      <c r="P280" s="291"/>
      <c r="Q280" s="291"/>
      <c r="R280" s="291"/>
      <c r="S280" s="291"/>
      <c r="T280" s="291"/>
      <c r="U280" s="291"/>
    </row>
    <row r="281" spans="1:21" s="8" customFormat="1" x14ac:dyDescent="0.35">
      <c r="A281" s="16"/>
      <c r="B281" s="16"/>
      <c r="C281" s="291"/>
      <c r="D281" s="291"/>
      <c r="E281" s="291"/>
      <c r="F281" s="291"/>
      <c r="G281" s="291"/>
      <c r="H281" s="291"/>
      <c r="I281" s="291"/>
      <c r="J281" s="291"/>
      <c r="K281" s="291"/>
      <c r="L281" s="291"/>
      <c r="M281" s="291"/>
      <c r="N281" s="291"/>
      <c r="O281" s="291"/>
      <c r="P281" s="291"/>
      <c r="Q281" s="291"/>
      <c r="R281" s="291"/>
      <c r="S281" s="291"/>
      <c r="T281" s="291"/>
      <c r="U281" s="291"/>
    </row>
    <row r="282" spans="1:21" s="8" customFormat="1" x14ac:dyDescent="0.35">
      <c r="A282" s="16"/>
      <c r="B282" s="16"/>
      <c r="C282" s="291"/>
      <c r="D282" s="291"/>
      <c r="E282" s="291"/>
      <c r="F282" s="291"/>
      <c r="G282" s="291"/>
      <c r="H282" s="291"/>
      <c r="I282" s="291"/>
      <c r="J282" s="291"/>
      <c r="K282" s="291"/>
      <c r="L282" s="291"/>
      <c r="M282" s="291"/>
      <c r="N282" s="291"/>
      <c r="O282" s="291"/>
      <c r="P282" s="291"/>
      <c r="Q282" s="291"/>
      <c r="R282" s="291"/>
      <c r="S282" s="291"/>
      <c r="T282" s="291"/>
      <c r="U282" s="291"/>
    </row>
    <row r="283" spans="1:21" s="8" customFormat="1" x14ac:dyDescent="0.35">
      <c r="A283" s="16"/>
      <c r="B283" s="16"/>
      <c r="C283" s="291"/>
      <c r="D283" s="291"/>
      <c r="E283" s="291"/>
      <c r="F283" s="291"/>
      <c r="G283" s="291"/>
      <c r="H283" s="291"/>
      <c r="I283" s="291"/>
      <c r="J283" s="291"/>
      <c r="K283" s="291"/>
      <c r="L283" s="291"/>
      <c r="M283" s="291"/>
      <c r="N283" s="291"/>
      <c r="O283" s="291"/>
      <c r="P283" s="291"/>
      <c r="Q283" s="291"/>
      <c r="R283" s="291"/>
      <c r="S283" s="291"/>
      <c r="T283" s="291"/>
      <c r="U283" s="291"/>
    </row>
    <row r="284" spans="1:21" s="8" customFormat="1" x14ac:dyDescent="0.35">
      <c r="A284" s="16"/>
      <c r="B284" s="16"/>
      <c r="C284" s="291"/>
      <c r="D284" s="291"/>
      <c r="E284" s="291"/>
      <c r="F284" s="291"/>
      <c r="G284" s="291"/>
      <c r="H284" s="291"/>
      <c r="I284" s="291"/>
      <c r="J284" s="291"/>
      <c r="K284" s="291"/>
      <c r="L284" s="291"/>
      <c r="M284" s="291"/>
      <c r="N284" s="291"/>
      <c r="O284" s="291"/>
      <c r="P284" s="291"/>
      <c r="Q284" s="291"/>
      <c r="R284" s="291"/>
      <c r="S284" s="291"/>
      <c r="T284" s="291"/>
      <c r="U284" s="291"/>
    </row>
    <row r="285" spans="1:21" s="8" customFormat="1" x14ac:dyDescent="0.35">
      <c r="A285" s="16"/>
      <c r="B285" s="16"/>
      <c r="C285" s="291"/>
      <c r="D285" s="291"/>
      <c r="E285" s="291"/>
      <c r="F285" s="291"/>
      <c r="G285" s="291"/>
      <c r="H285" s="291"/>
      <c r="I285" s="291"/>
      <c r="J285" s="291"/>
      <c r="K285" s="291"/>
      <c r="L285" s="291"/>
      <c r="M285" s="291"/>
      <c r="N285" s="291"/>
      <c r="O285" s="291"/>
      <c r="P285" s="291"/>
      <c r="Q285" s="291"/>
      <c r="R285" s="291"/>
      <c r="S285" s="291"/>
      <c r="T285" s="291"/>
      <c r="U285" s="291"/>
    </row>
    <row r="286" spans="1:21" s="8" customFormat="1" x14ac:dyDescent="0.35">
      <c r="A286" s="16"/>
      <c r="B286" s="16"/>
      <c r="C286" s="291"/>
      <c r="D286" s="291"/>
      <c r="E286" s="291"/>
      <c r="F286" s="291"/>
      <c r="G286" s="291"/>
      <c r="H286" s="291"/>
      <c r="I286" s="291"/>
      <c r="J286" s="291"/>
      <c r="K286" s="291"/>
      <c r="L286" s="291"/>
      <c r="M286" s="291"/>
      <c r="N286" s="291"/>
      <c r="O286" s="291"/>
      <c r="P286" s="291"/>
      <c r="Q286" s="291"/>
      <c r="R286" s="291"/>
      <c r="S286" s="291"/>
      <c r="T286" s="291"/>
      <c r="U286" s="291"/>
    </row>
    <row r="287" spans="1:21" s="8" customFormat="1" x14ac:dyDescent="0.35">
      <c r="A287" s="16"/>
      <c r="B287" s="16"/>
      <c r="C287" s="291"/>
      <c r="D287" s="291"/>
      <c r="E287" s="291"/>
      <c r="F287" s="291"/>
      <c r="G287" s="291"/>
      <c r="H287" s="291"/>
      <c r="I287" s="291"/>
      <c r="J287" s="291"/>
      <c r="K287" s="291"/>
      <c r="L287" s="291"/>
      <c r="M287" s="291"/>
      <c r="N287" s="291"/>
      <c r="O287" s="291"/>
      <c r="P287" s="291"/>
      <c r="Q287" s="291"/>
      <c r="R287" s="291"/>
      <c r="S287" s="291"/>
      <c r="T287" s="291"/>
      <c r="U287" s="291"/>
    </row>
    <row r="288" spans="1:21" s="8" customFormat="1" x14ac:dyDescent="0.35">
      <c r="A288" s="16"/>
      <c r="B288" s="16"/>
      <c r="C288" s="291"/>
      <c r="D288" s="291"/>
      <c r="E288" s="291"/>
      <c r="F288" s="291"/>
      <c r="G288" s="291"/>
      <c r="H288" s="291"/>
      <c r="I288" s="291"/>
      <c r="J288" s="291"/>
      <c r="K288" s="291"/>
      <c r="L288" s="291"/>
      <c r="M288" s="291"/>
      <c r="N288" s="291"/>
      <c r="O288" s="291"/>
      <c r="P288" s="291"/>
      <c r="Q288" s="291"/>
      <c r="R288" s="291"/>
      <c r="S288" s="291"/>
      <c r="T288" s="291"/>
      <c r="U288" s="291"/>
    </row>
    <row r="289" spans="1:21" s="8" customFormat="1" x14ac:dyDescent="0.35">
      <c r="A289" s="16"/>
      <c r="B289" s="16"/>
      <c r="C289" s="291"/>
      <c r="D289" s="291"/>
      <c r="E289" s="291"/>
      <c r="F289" s="291"/>
      <c r="G289" s="291"/>
      <c r="H289" s="291"/>
      <c r="I289" s="291"/>
      <c r="J289" s="291"/>
      <c r="K289" s="291"/>
      <c r="L289" s="291"/>
      <c r="M289" s="291"/>
      <c r="N289" s="291"/>
      <c r="O289" s="291"/>
      <c r="P289" s="291"/>
      <c r="Q289" s="291"/>
      <c r="R289" s="291"/>
      <c r="S289" s="291"/>
      <c r="T289" s="291"/>
      <c r="U289" s="291"/>
    </row>
    <row r="290" spans="1:21" s="8" customFormat="1" x14ac:dyDescent="0.35">
      <c r="A290" s="16"/>
      <c r="B290" s="16"/>
      <c r="C290" s="291"/>
      <c r="D290" s="291"/>
      <c r="E290" s="291"/>
      <c r="F290" s="291"/>
      <c r="G290" s="291"/>
      <c r="H290" s="291"/>
      <c r="I290" s="291"/>
      <c r="J290" s="291"/>
      <c r="K290" s="291"/>
      <c r="L290" s="291"/>
      <c r="M290" s="291"/>
      <c r="N290" s="291"/>
      <c r="O290" s="291"/>
      <c r="P290" s="291"/>
      <c r="Q290" s="291"/>
      <c r="R290" s="291"/>
      <c r="S290" s="291"/>
      <c r="T290" s="291"/>
      <c r="U290" s="291"/>
    </row>
    <row r="291" spans="1:21" s="8" customFormat="1" x14ac:dyDescent="0.35">
      <c r="A291" s="16"/>
      <c r="B291" s="16"/>
      <c r="C291" s="291"/>
      <c r="D291" s="291"/>
      <c r="E291" s="291"/>
      <c r="F291" s="291"/>
      <c r="G291" s="291"/>
      <c r="H291" s="291"/>
      <c r="I291" s="291"/>
      <c r="J291" s="291"/>
      <c r="K291" s="291"/>
      <c r="L291" s="291"/>
      <c r="M291" s="291"/>
      <c r="N291" s="291"/>
      <c r="O291" s="291"/>
      <c r="P291" s="291"/>
      <c r="Q291" s="291"/>
      <c r="R291" s="291"/>
      <c r="S291" s="291"/>
      <c r="T291" s="291"/>
      <c r="U291" s="291"/>
    </row>
    <row r="292" spans="1:21" s="8" customFormat="1" x14ac:dyDescent="0.35">
      <c r="A292" s="16"/>
      <c r="B292" s="16"/>
      <c r="C292" s="291"/>
      <c r="D292" s="291"/>
      <c r="E292" s="291"/>
      <c r="F292" s="291"/>
      <c r="G292" s="291"/>
      <c r="H292" s="291"/>
      <c r="I292" s="291"/>
      <c r="J292" s="291"/>
      <c r="K292" s="291"/>
      <c r="L292" s="291"/>
      <c r="M292" s="291"/>
      <c r="N292" s="291"/>
      <c r="O292" s="291"/>
      <c r="P292" s="291"/>
      <c r="Q292" s="291"/>
      <c r="R292" s="291"/>
      <c r="S292" s="291"/>
      <c r="T292" s="291"/>
      <c r="U292" s="291"/>
    </row>
    <row r="293" spans="1:21" s="8" customFormat="1" x14ac:dyDescent="0.35">
      <c r="A293" s="16"/>
      <c r="B293" s="16"/>
      <c r="C293" s="291"/>
      <c r="D293" s="291"/>
      <c r="E293" s="291"/>
      <c r="F293" s="291"/>
      <c r="G293" s="291"/>
      <c r="H293" s="291"/>
      <c r="I293" s="291"/>
      <c r="J293" s="291"/>
      <c r="K293" s="291"/>
      <c r="L293" s="291"/>
      <c r="M293" s="291"/>
      <c r="N293" s="291"/>
      <c r="O293" s="291"/>
      <c r="P293" s="291"/>
      <c r="Q293" s="291"/>
      <c r="R293" s="291"/>
      <c r="S293" s="291"/>
      <c r="T293" s="291"/>
      <c r="U293" s="291"/>
    </row>
    <row r="294" spans="1:21" s="8" customFormat="1" x14ac:dyDescent="0.35">
      <c r="A294" s="16"/>
      <c r="B294" s="16"/>
      <c r="C294" s="291"/>
      <c r="D294" s="291"/>
      <c r="E294" s="291"/>
      <c r="F294" s="291"/>
      <c r="G294" s="291"/>
      <c r="H294" s="291"/>
      <c r="I294" s="291"/>
      <c r="J294" s="291"/>
      <c r="K294" s="291"/>
      <c r="L294" s="291"/>
      <c r="M294" s="291"/>
      <c r="N294" s="291"/>
      <c r="O294" s="291"/>
      <c r="P294" s="291"/>
      <c r="Q294" s="291"/>
      <c r="R294" s="291"/>
      <c r="S294" s="291"/>
      <c r="T294" s="291"/>
      <c r="U294" s="291"/>
    </row>
    <row r="295" spans="1:21" s="8" customFormat="1" x14ac:dyDescent="0.35">
      <c r="A295" s="16"/>
      <c r="B295" s="16"/>
      <c r="C295" s="291"/>
      <c r="D295" s="291"/>
      <c r="E295" s="291"/>
      <c r="F295" s="291"/>
      <c r="G295" s="291"/>
      <c r="H295" s="291"/>
      <c r="I295" s="291"/>
      <c r="J295" s="291"/>
      <c r="K295" s="291"/>
      <c r="L295" s="291"/>
      <c r="M295" s="291"/>
      <c r="N295" s="291"/>
      <c r="O295" s="291"/>
      <c r="P295" s="291"/>
      <c r="Q295" s="291"/>
      <c r="R295" s="291"/>
      <c r="S295" s="291"/>
      <c r="T295" s="291"/>
      <c r="U295" s="291"/>
    </row>
    <row r="296" spans="1:21" s="8" customFormat="1" x14ac:dyDescent="0.35">
      <c r="A296" s="16"/>
      <c r="B296" s="16"/>
      <c r="C296" s="291"/>
      <c r="D296" s="291"/>
      <c r="E296" s="291"/>
      <c r="F296" s="291"/>
      <c r="G296" s="291"/>
      <c r="H296" s="291"/>
      <c r="I296" s="291"/>
      <c r="J296" s="291"/>
      <c r="K296" s="291"/>
      <c r="L296" s="291"/>
      <c r="M296" s="291"/>
      <c r="N296" s="291"/>
      <c r="O296" s="291"/>
      <c r="P296" s="291"/>
      <c r="Q296" s="291"/>
      <c r="R296" s="291"/>
      <c r="S296" s="291"/>
      <c r="T296" s="291"/>
      <c r="U296" s="291"/>
    </row>
    <row r="297" spans="1:21" s="8" customFormat="1" x14ac:dyDescent="0.35">
      <c r="A297" s="16"/>
      <c r="B297" s="16"/>
      <c r="C297" s="291"/>
      <c r="D297" s="291"/>
      <c r="E297" s="291"/>
      <c r="F297" s="291"/>
      <c r="G297" s="291"/>
      <c r="H297" s="291"/>
      <c r="I297" s="291"/>
      <c r="J297" s="291"/>
      <c r="K297" s="291"/>
      <c r="L297" s="291"/>
      <c r="M297" s="291"/>
      <c r="N297" s="291"/>
      <c r="O297" s="291"/>
      <c r="P297" s="291"/>
      <c r="Q297" s="291"/>
      <c r="R297" s="291"/>
      <c r="S297" s="291"/>
      <c r="T297" s="291"/>
      <c r="U297" s="291"/>
    </row>
    <row r="298" spans="1:21" s="8" customFormat="1" x14ac:dyDescent="0.35">
      <c r="A298" s="16"/>
      <c r="B298" s="16"/>
      <c r="C298" s="291"/>
      <c r="D298" s="291"/>
      <c r="E298" s="291"/>
      <c r="F298" s="291"/>
      <c r="G298" s="291"/>
      <c r="H298" s="291"/>
      <c r="I298" s="291"/>
      <c r="J298" s="291"/>
      <c r="K298" s="291"/>
      <c r="L298" s="291"/>
      <c r="M298" s="291"/>
      <c r="N298" s="291"/>
      <c r="O298" s="291"/>
      <c r="P298" s="291"/>
      <c r="Q298" s="291"/>
      <c r="R298" s="291"/>
      <c r="S298" s="291"/>
      <c r="T298" s="291"/>
      <c r="U298" s="291"/>
    </row>
    <row r="299" spans="1:21" s="8" customFormat="1" x14ac:dyDescent="0.35">
      <c r="A299" s="16"/>
      <c r="B299" s="16"/>
      <c r="C299" s="291"/>
      <c r="D299" s="291"/>
      <c r="E299" s="291"/>
      <c r="F299" s="291"/>
      <c r="G299" s="291"/>
      <c r="H299" s="291"/>
      <c r="I299" s="291"/>
      <c r="J299" s="291"/>
      <c r="K299" s="291"/>
      <c r="L299" s="291"/>
      <c r="M299" s="291"/>
      <c r="N299" s="291"/>
      <c r="O299" s="291"/>
      <c r="P299" s="291"/>
      <c r="Q299" s="291"/>
      <c r="R299" s="291"/>
      <c r="S299" s="291"/>
      <c r="T299" s="291"/>
      <c r="U299" s="291"/>
    </row>
    <row r="300" spans="1:21" s="8" customFormat="1" x14ac:dyDescent="0.35">
      <c r="A300" s="16"/>
      <c r="B300" s="16"/>
      <c r="C300" s="291"/>
      <c r="D300" s="291"/>
      <c r="E300" s="291"/>
      <c r="F300" s="291"/>
      <c r="G300" s="291"/>
      <c r="H300" s="291"/>
      <c r="I300" s="291"/>
      <c r="J300" s="291"/>
      <c r="K300" s="291"/>
      <c r="L300" s="291"/>
      <c r="M300" s="291"/>
      <c r="N300" s="291"/>
      <c r="O300" s="291"/>
      <c r="P300" s="291"/>
      <c r="Q300" s="291"/>
      <c r="R300" s="291"/>
      <c r="S300" s="291"/>
      <c r="T300" s="291"/>
      <c r="U300" s="291"/>
    </row>
    <row r="301" spans="1:21" s="8" customFormat="1" x14ac:dyDescent="0.35">
      <c r="A301" s="16"/>
      <c r="B301" s="16"/>
      <c r="C301" s="291"/>
      <c r="D301" s="291"/>
      <c r="E301" s="291"/>
      <c r="F301" s="291"/>
      <c r="G301" s="291"/>
      <c r="H301" s="291"/>
      <c r="I301" s="291"/>
      <c r="J301" s="291"/>
      <c r="K301" s="291"/>
      <c r="L301" s="291"/>
      <c r="M301" s="291"/>
      <c r="N301" s="291"/>
      <c r="O301" s="291"/>
      <c r="P301" s="291"/>
      <c r="Q301" s="291"/>
      <c r="R301" s="291"/>
      <c r="S301" s="291"/>
      <c r="T301" s="291"/>
      <c r="U301" s="291"/>
    </row>
    <row r="302" spans="1:21" s="8" customFormat="1" x14ac:dyDescent="0.35">
      <c r="A302" s="16"/>
      <c r="B302" s="16"/>
      <c r="C302" s="291"/>
      <c r="D302" s="291"/>
      <c r="E302" s="291"/>
      <c r="F302" s="291"/>
      <c r="G302" s="291"/>
      <c r="H302" s="291"/>
      <c r="I302" s="291"/>
      <c r="J302" s="291"/>
      <c r="K302" s="291"/>
      <c r="L302" s="291"/>
      <c r="M302" s="291"/>
      <c r="N302" s="291"/>
      <c r="O302" s="291"/>
      <c r="P302" s="291"/>
      <c r="Q302" s="291"/>
      <c r="R302" s="291"/>
      <c r="S302" s="291"/>
      <c r="T302" s="291"/>
      <c r="U302" s="291"/>
    </row>
    <row r="303" spans="1:21" s="8" customFormat="1" x14ac:dyDescent="0.35">
      <c r="A303" s="16"/>
      <c r="B303" s="16"/>
      <c r="C303" s="291"/>
      <c r="D303" s="291"/>
      <c r="E303" s="291"/>
      <c r="F303" s="291"/>
      <c r="G303" s="291"/>
      <c r="H303" s="291"/>
      <c r="I303" s="291"/>
      <c r="J303" s="291"/>
      <c r="K303" s="291"/>
      <c r="L303" s="291"/>
      <c r="M303" s="291"/>
      <c r="N303" s="291"/>
      <c r="O303" s="291"/>
      <c r="P303" s="291"/>
      <c r="Q303" s="291"/>
      <c r="R303" s="291"/>
      <c r="S303" s="291"/>
      <c r="T303" s="291"/>
      <c r="U303" s="291"/>
    </row>
    <row r="304" spans="1:21" s="8" customFormat="1" x14ac:dyDescent="0.35">
      <c r="A304" s="16"/>
      <c r="B304" s="16"/>
      <c r="C304" s="291"/>
      <c r="D304" s="291"/>
      <c r="E304" s="291"/>
      <c r="F304" s="291"/>
      <c r="G304" s="291"/>
      <c r="H304" s="291"/>
      <c r="I304" s="291"/>
      <c r="J304" s="291"/>
      <c r="K304" s="291"/>
      <c r="L304" s="291"/>
      <c r="M304" s="291"/>
      <c r="N304" s="291"/>
      <c r="O304" s="291"/>
      <c r="P304" s="291"/>
      <c r="Q304" s="291"/>
      <c r="R304" s="291"/>
      <c r="S304" s="291"/>
      <c r="T304" s="291"/>
      <c r="U304" s="291"/>
    </row>
    <row r="305" spans="1:21" s="8" customFormat="1" x14ac:dyDescent="0.35">
      <c r="A305" s="16"/>
      <c r="B305" s="16"/>
      <c r="C305" s="291"/>
      <c r="D305" s="291"/>
      <c r="E305" s="291"/>
      <c r="F305" s="291"/>
      <c r="G305" s="291"/>
      <c r="H305" s="291"/>
      <c r="I305" s="291"/>
      <c r="J305" s="291"/>
      <c r="K305" s="291"/>
      <c r="L305" s="291"/>
      <c r="M305" s="291"/>
      <c r="N305" s="291"/>
      <c r="O305" s="291"/>
      <c r="P305" s="291"/>
      <c r="Q305" s="291"/>
      <c r="R305" s="291"/>
      <c r="S305" s="291"/>
      <c r="T305" s="291"/>
      <c r="U305" s="291"/>
    </row>
    <row r="306" spans="1:21" s="8" customFormat="1" x14ac:dyDescent="0.35">
      <c r="A306" s="16"/>
      <c r="B306" s="16"/>
    </row>
    <row r="307" spans="1:21" s="8" customFormat="1" x14ac:dyDescent="0.35">
      <c r="A307" s="16"/>
      <c r="B307" s="16"/>
    </row>
    <row r="308" spans="1:21" s="8" customFormat="1" x14ac:dyDescent="0.35">
      <c r="A308" s="16"/>
      <c r="B308" s="16"/>
    </row>
    <row r="309" spans="1:21" s="8" customFormat="1" x14ac:dyDescent="0.35">
      <c r="A309" s="16"/>
      <c r="B309" s="16"/>
    </row>
    <row r="310" spans="1:21" s="8" customFormat="1" x14ac:dyDescent="0.35">
      <c r="A310" s="16"/>
      <c r="B310" s="16"/>
    </row>
    <row r="311" spans="1:21" s="8" customFormat="1" x14ac:dyDescent="0.35">
      <c r="A311" s="16"/>
      <c r="B311" s="16"/>
    </row>
    <row r="312" spans="1:21" s="8" customFormat="1" x14ac:dyDescent="0.35">
      <c r="A312" s="16"/>
      <c r="B312" s="16"/>
    </row>
    <row r="313" spans="1:21" s="8" customFormat="1" x14ac:dyDescent="0.35">
      <c r="A313" s="16"/>
      <c r="B313" s="16"/>
    </row>
    <row r="314" spans="1:21" s="8" customFormat="1" x14ac:dyDescent="0.35">
      <c r="A314" s="16"/>
      <c r="B314" s="16"/>
    </row>
    <row r="315" spans="1:21" s="8" customFormat="1" x14ac:dyDescent="0.35">
      <c r="A315" s="16"/>
      <c r="B315" s="16"/>
    </row>
    <row r="316" spans="1:21" s="8" customFormat="1" x14ac:dyDescent="0.35">
      <c r="A316" s="16"/>
      <c r="B316" s="16"/>
    </row>
    <row r="317" spans="1:21" s="8" customFormat="1" x14ac:dyDescent="0.35">
      <c r="A317" s="16"/>
      <c r="B317" s="16"/>
    </row>
    <row r="318" spans="1:21" s="8" customFormat="1" x14ac:dyDescent="0.35">
      <c r="A318" s="16"/>
      <c r="B318" s="16"/>
    </row>
    <row r="319" spans="1:21" s="8" customFormat="1" x14ac:dyDescent="0.35">
      <c r="A319" s="16"/>
      <c r="B319" s="16"/>
    </row>
    <row r="320" spans="1:21" s="8" customFormat="1" x14ac:dyDescent="0.35">
      <c r="A320" s="16"/>
      <c r="B320" s="16"/>
    </row>
    <row r="321" spans="1:2" s="8" customFormat="1" x14ac:dyDescent="0.35">
      <c r="A321" s="16"/>
      <c r="B321" s="16"/>
    </row>
    <row r="322" spans="1:2" s="8" customFormat="1" x14ac:dyDescent="0.35">
      <c r="A322" s="16"/>
      <c r="B322" s="16"/>
    </row>
    <row r="323" spans="1:2" s="8" customFormat="1" x14ac:dyDescent="0.35">
      <c r="A323" s="16"/>
      <c r="B323" s="16"/>
    </row>
    <row r="324" spans="1:2" s="8" customFormat="1" x14ac:dyDescent="0.35">
      <c r="A324" s="16"/>
      <c r="B324" s="16"/>
    </row>
    <row r="325" spans="1:2" s="8" customFormat="1" x14ac:dyDescent="0.35">
      <c r="A325" s="16"/>
      <c r="B325" s="16"/>
    </row>
    <row r="326" spans="1:2" s="8" customFormat="1" x14ac:dyDescent="0.35">
      <c r="A326" s="16"/>
      <c r="B326" s="16"/>
    </row>
    <row r="327" spans="1:2" s="8" customFormat="1" x14ac:dyDescent="0.35">
      <c r="A327" s="16"/>
      <c r="B327" s="16"/>
    </row>
    <row r="328" spans="1:2" s="8" customFormat="1" x14ac:dyDescent="0.35">
      <c r="A328" s="16"/>
      <c r="B328" s="16"/>
    </row>
    <row r="329" spans="1:2" s="8" customFormat="1" x14ac:dyDescent="0.35">
      <c r="A329" s="16"/>
      <c r="B329" s="16"/>
    </row>
    <row r="330" spans="1:2" s="8" customFormat="1" x14ac:dyDescent="0.35">
      <c r="A330" s="16"/>
      <c r="B330" s="16"/>
    </row>
    <row r="331" spans="1:2" s="8" customFormat="1" x14ac:dyDescent="0.35">
      <c r="A331" s="16"/>
      <c r="B331" s="16"/>
    </row>
    <row r="332" spans="1:2" s="8" customFormat="1" x14ac:dyDescent="0.35">
      <c r="A332" s="16"/>
      <c r="B332" s="16"/>
    </row>
    <row r="333" spans="1:2" s="8" customFormat="1" x14ac:dyDescent="0.35">
      <c r="A333" s="16"/>
      <c r="B333" s="16"/>
    </row>
    <row r="334" spans="1:2" s="8" customFormat="1" x14ac:dyDescent="0.35">
      <c r="A334" s="16"/>
      <c r="B334" s="16"/>
    </row>
    <row r="335" spans="1:2" s="8" customFormat="1" x14ac:dyDescent="0.35">
      <c r="A335" s="16"/>
      <c r="B335" s="16"/>
    </row>
    <row r="336" spans="1:2" s="8" customFormat="1" x14ac:dyDescent="0.35">
      <c r="A336" s="16"/>
      <c r="B336" s="16"/>
    </row>
    <row r="337" spans="1:2" s="8" customFormat="1" x14ac:dyDescent="0.35">
      <c r="A337" s="16"/>
      <c r="B337" s="16"/>
    </row>
    <row r="338" spans="1:2" s="8" customFormat="1" x14ac:dyDescent="0.35">
      <c r="A338" s="16"/>
      <c r="B338" s="16"/>
    </row>
    <row r="339" spans="1:2" s="8" customFormat="1" x14ac:dyDescent="0.35">
      <c r="A339" s="16"/>
      <c r="B339" s="16"/>
    </row>
    <row r="340" spans="1:2" s="8" customFormat="1" x14ac:dyDescent="0.35">
      <c r="A340" s="16"/>
      <c r="B340" s="16"/>
    </row>
    <row r="341" spans="1:2" s="8" customFormat="1" x14ac:dyDescent="0.35">
      <c r="A341" s="16"/>
      <c r="B341" s="16"/>
    </row>
    <row r="342" spans="1:2" s="8" customFormat="1" x14ac:dyDescent="0.35">
      <c r="A342" s="16"/>
      <c r="B342" s="16"/>
    </row>
    <row r="343" spans="1:2" s="8" customFormat="1" x14ac:dyDescent="0.35">
      <c r="A343" s="16"/>
      <c r="B343" s="16"/>
    </row>
    <row r="344" spans="1:2" s="8" customFormat="1" x14ac:dyDescent="0.35">
      <c r="A344" s="16"/>
      <c r="B344" s="16"/>
    </row>
    <row r="345" spans="1:2" s="8" customFormat="1" x14ac:dyDescent="0.35">
      <c r="A345" s="16"/>
      <c r="B345" s="16"/>
    </row>
    <row r="346" spans="1:2" s="8" customFormat="1" x14ac:dyDescent="0.35">
      <c r="A346" s="16"/>
      <c r="B346" s="16"/>
    </row>
    <row r="347" spans="1:2" s="8" customFormat="1" x14ac:dyDescent="0.35">
      <c r="A347" s="16"/>
      <c r="B347" s="16"/>
    </row>
    <row r="348" spans="1:2" s="8" customFormat="1" x14ac:dyDescent="0.35">
      <c r="A348" s="16"/>
      <c r="B348" s="16"/>
    </row>
    <row r="349" spans="1:2" s="8" customFormat="1" x14ac:dyDescent="0.35">
      <c r="A349" s="16"/>
      <c r="B349" s="16"/>
    </row>
    <row r="350" spans="1:2" s="8" customFormat="1" x14ac:dyDescent="0.35">
      <c r="A350" s="16"/>
      <c r="B350" s="16"/>
    </row>
    <row r="351" spans="1:2" s="8" customFormat="1" x14ac:dyDescent="0.35">
      <c r="A351" s="16"/>
      <c r="B351" s="16"/>
    </row>
    <row r="352" spans="1:2" s="8" customFormat="1" x14ac:dyDescent="0.35">
      <c r="A352" s="16"/>
      <c r="B352" s="16"/>
    </row>
    <row r="353" spans="1:2" s="8" customFormat="1" x14ac:dyDescent="0.35">
      <c r="A353" s="16"/>
      <c r="B353" s="16"/>
    </row>
    <row r="354" spans="1:2" s="8" customFormat="1" x14ac:dyDescent="0.35">
      <c r="A354" s="16"/>
      <c r="B354" s="16"/>
    </row>
    <row r="355" spans="1:2" s="8" customFormat="1" x14ac:dyDescent="0.35">
      <c r="A355" s="16"/>
      <c r="B355" s="16"/>
    </row>
    <row r="356" spans="1:2" s="8" customFormat="1" x14ac:dyDescent="0.35">
      <c r="A356" s="16"/>
      <c r="B356" s="16"/>
    </row>
    <row r="357" spans="1:2" s="8" customFormat="1" x14ac:dyDescent="0.35">
      <c r="A357" s="16"/>
      <c r="B357" s="16"/>
    </row>
    <row r="358" spans="1:2" s="8" customFormat="1" x14ac:dyDescent="0.35">
      <c r="A358" s="16"/>
      <c r="B358" s="16"/>
    </row>
    <row r="359" spans="1:2" s="8" customFormat="1" x14ac:dyDescent="0.35">
      <c r="A359" s="16"/>
      <c r="B359" s="16"/>
    </row>
    <row r="360" spans="1:2" s="8" customFormat="1" x14ac:dyDescent="0.35">
      <c r="A360" s="16"/>
      <c r="B360" s="16"/>
    </row>
    <row r="361" spans="1:2" s="8" customFormat="1" x14ac:dyDescent="0.35">
      <c r="A361" s="16"/>
      <c r="B361" s="16"/>
    </row>
    <row r="362" spans="1:2" s="8" customFormat="1" x14ac:dyDescent="0.35">
      <c r="A362" s="16"/>
      <c r="B362" s="16"/>
    </row>
    <row r="363" spans="1:2" s="8" customFormat="1" x14ac:dyDescent="0.35">
      <c r="A363" s="16"/>
      <c r="B363" s="16"/>
    </row>
    <row r="364" spans="1:2" s="8" customFormat="1" x14ac:dyDescent="0.35">
      <c r="A364" s="16"/>
      <c r="B364" s="16"/>
    </row>
    <row r="365" spans="1:2" s="8" customFormat="1" x14ac:dyDescent="0.35">
      <c r="A365" s="16"/>
      <c r="B365" s="16"/>
    </row>
    <row r="366" spans="1:2" s="8" customFormat="1" x14ac:dyDescent="0.35">
      <c r="A366" s="16"/>
      <c r="B366" s="16"/>
    </row>
    <row r="367" spans="1:2" s="8" customFormat="1" x14ac:dyDescent="0.35">
      <c r="A367" s="16"/>
      <c r="B367" s="16"/>
    </row>
    <row r="368" spans="1:2" s="8" customFormat="1" x14ac:dyDescent="0.35">
      <c r="A368" s="16"/>
      <c r="B368" s="16"/>
    </row>
    <row r="369" spans="1:2" s="8" customFormat="1" x14ac:dyDescent="0.35">
      <c r="A369" s="16"/>
      <c r="B369" s="16"/>
    </row>
    <row r="370" spans="1:2" s="8" customFormat="1" x14ac:dyDescent="0.35">
      <c r="A370" s="16"/>
      <c r="B370" s="16"/>
    </row>
    <row r="371" spans="1:2" s="8" customFormat="1" x14ac:dyDescent="0.35">
      <c r="A371" s="16"/>
      <c r="B371" s="16"/>
    </row>
    <row r="372" spans="1:2" s="8" customFormat="1" x14ac:dyDescent="0.35">
      <c r="A372" s="16"/>
      <c r="B372" s="16"/>
    </row>
    <row r="373" spans="1:2" s="8" customFormat="1" x14ac:dyDescent="0.35">
      <c r="A373" s="16"/>
      <c r="B373" s="16"/>
    </row>
    <row r="374" spans="1:2" s="8" customFormat="1" x14ac:dyDescent="0.35">
      <c r="A374" s="16"/>
      <c r="B374" s="16"/>
    </row>
    <row r="375" spans="1:2" s="8" customFormat="1" x14ac:dyDescent="0.35">
      <c r="A375" s="16"/>
      <c r="B375" s="16"/>
    </row>
    <row r="376" spans="1:2" s="8" customFormat="1" x14ac:dyDescent="0.35">
      <c r="A376" s="16"/>
      <c r="B376" s="16"/>
    </row>
    <row r="377" spans="1:2" s="8" customFormat="1" x14ac:dyDescent="0.35">
      <c r="A377" s="16"/>
      <c r="B377" s="16"/>
    </row>
    <row r="378" spans="1:2" s="8" customFormat="1" x14ac:dyDescent="0.35">
      <c r="A378" s="16"/>
      <c r="B378" s="16"/>
    </row>
    <row r="379" spans="1:2" s="8" customFormat="1" x14ac:dyDescent="0.35">
      <c r="A379" s="16"/>
      <c r="B379" s="16"/>
    </row>
    <row r="380" spans="1:2" s="8" customFormat="1" x14ac:dyDescent="0.35">
      <c r="A380" s="16"/>
      <c r="B380" s="16"/>
    </row>
    <row r="381" spans="1:2" s="8" customFormat="1" x14ac:dyDescent="0.35">
      <c r="A381" s="16"/>
      <c r="B381" s="16"/>
    </row>
    <row r="382" spans="1:2" s="8" customFormat="1" x14ac:dyDescent="0.35">
      <c r="A382" s="16"/>
      <c r="B382" s="16"/>
    </row>
    <row r="383" spans="1:2" s="8" customFormat="1" x14ac:dyDescent="0.35">
      <c r="A383" s="16"/>
      <c r="B383" s="16"/>
    </row>
    <row r="384" spans="1:2" s="8" customFormat="1" x14ac:dyDescent="0.35">
      <c r="A384" s="16"/>
      <c r="B384" s="16"/>
    </row>
    <row r="385" spans="1:2" s="8" customFormat="1" x14ac:dyDescent="0.35">
      <c r="A385" s="16"/>
      <c r="B385" s="16"/>
    </row>
    <row r="386" spans="1:2" s="8" customFormat="1" x14ac:dyDescent="0.35">
      <c r="A386" s="16"/>
      <c r="B386" s="16"/>
    </row>
    <row r="387" spans="1:2" s="8" customFormat="1" x14ac:dyDescent="0.35">
      <c r="A387" s="16"/>
      <c r="B387" s="16"/>
    </row>
    <row r="388" spans="1:2" s="8" customFormat="1" x14ac:dyDescent="0.35">
      <c r="A388" s="16"/>
      <c r="B388" s="16"/>
    </row>
    <row r="389" spans="1:2" s="8" customFormat="1" x14ac:dyDescent="0.35">
      <c r="A389" s="16"/>
      <c r="B389" s="16"/>
    </row>
    <row r="390" spans="1:2" s="8" customFormat="1" x14ac:dyDescent="0.35">
      <c r="A390" s="16"/>
      <c r="B390" s="16"/>
    </row>
    <row r="391" spans="1:2" s="8" customFormat="1" x14ac:dyDescent="0.35">
      <c r="A391" s="16"/>
      <c r="B391" s="16"/>
    </row>
    <row r="392" spans="1:2" s="8" customFormat="1" x14ac:dyDescent="0.35">
      <c r="A392" s="16"/>
      <c r="B392" s="16"/>
    </row>
    <row r="393" spans="1:2" s="8" customFormat="1" x14ac:dyDescent="0.35">
      <c r="A393" s="16"/>
      <c r="B393" s="16"/>
    </row>
    <row r="394" spans="1:2" s="8" customFormat="1" x14ac:dyDescent="0.35">
      <c r="A394" s="16"/>
      <c r="B394" s="16"/>
    </row>
    <row r="395" spans="1:2" s="8" customFormat="1" x14ac:dyDescent="0.35">
      <c r="A395" s="16"/>
      <c r="B395" s="16"/>
    </row>
    <row r="396" spans="1:2" s="8" customFormat="1" x14ac:dyDescent="0.35">
      <c r="A396" s="16"/>
      <c r="B396" s="16"/>
    </row>
    <row r="397" spans="1:2" s="8" customFormat="1" x14ac:dyDescent="0.35">
      <c r="A397" s="16"/>
      <c r="B397" s="16"/>
    </row>
    <row r="398" spans="1:2" s="8" customFormat="1" x14ac:dyDescent="0.35">
      <c r="A398" s="16"/>
      <c r="B398" s="16"/>
    </row>
    <row r="399" spans="1:2" s="8" customFormat="1" x14ac:dyDescent="0.35">
      <c r="A399" s="16"/>
      <c r="B399" s="16"/>
    </row>
    <row r="400" spans="1:2" s="8" customFormat="1" x14ac:dyDescent="0.35">
      <c r="A400" s="16"/>
      <c r="B400" s="16"/>
    </row>
    <row r="401" spans="1:2" s="8" customFormat="1" x14ac:dyDescent="0.35">
      <c r="A401" s="16"/>
      <c r="B401" s="16"/>
    </row>
    <row r="402" spans="1:2" s="8" customFormat="1" x14ac:dyDescent="0.35">
      <c r="A402" s="16"/>
      <c r="B402" s="16"/>
    </row>
    <row r="403" spans="1:2" s="8" customFormat="1" x14ac:dyDescent="0.35">
      <c r="A403" s="16"/>
      <c r="B403" s="16"/>
    </row>
    <row r="404" spans="1:2" s="8" customFormat="1" x14ac:dyDescent="0.35">
      <c r="A404" s="16"/>
      <c r="B404" s="16"/>
    </row>
    <row r="405" spans="1:2" s="8" customFormat="1" x14ac:dyDescent="0.35">
      <c r="A405" s="16"/>
      <c r="B405" s="16"/>
    </row>
    <row r="406" spans="1:2" s="8" customFormat="1" x14ac:dyDescent="0.35">
      <c r="A406" s="16"/>
      <c r="B406" s="16"/>
    </row>
    <row r="407" spans="1:2" s="8" customFormat="1" x14ac:dyDescent="0.35">
      <c r="A407" s="16"/>
      <c r="B407" s="16"/>
    </row>
    <row r="408" spans="1:2" s="8" customFormat="1" x14ac:dyDescent="0.35">
      <c r="A408" s="16"/>
      <c r="B408" s="16"/>
    </row>
    <row r="409" spans="1:2" s="8" customFormat="1" x14ac:dyDescent="0.35">
      <c r="A409" s="16"/>
      <c r="B409" s="16"/>
    </row>
    <row r="410" spans="1:2" s="8" customFormat="1" x14ac:dyDescent="0.35">
      <c r="A410" s="16"/>
      <c r="B410" s="16"/>
    </row>
    <row r="411" spans="1:2" s="8" customFormat="1" x14ac:dyDescent="0.35">
      <c r="A411" s="16"/>
      <c r="B411" s="16"/>
    </row>
    <row r="412" spans="1:2" s="8" customFormat="1" x14ac:dyDescent="0.35">
      <c r="A412" s="16"/>
      <c r="B412" s="16"/>
    </row>
    <row r="413" spans="1:2" s="8" customFormat="1" x14ac:dyDescent="0.35">
      <c r="A413" s="16"/>
      <c r="B413" s="16"/>
    </row>
    <row r="414" spans="1:2" s="8" customFormat="1" x14ac:dyDescent="0.35">
      <c r="A414" s="16"/>
      <c r="B414" s="16"/>
    </row>
    <row r="415" spans="1:2" s="8" customFormat="1" x14ac:dyDescent="0.35">
      <c r="A415" s="16"/>
      <c r="B415" s="16"/>
    </row>
    <row r="416" spans="1:2" s="8" customFormat="1" x14ac:dyDescent="0.35">
      <c r="A416" s="16"/>
      <c r="B416" s="16"/>
    </row>
    <row r="417" spans="1:2" s="8" customFormat="1" x14ac:dyDescent="0.35">
      <c r="A417" s="16"/>
      <c r="B417" s="16"/>
    </row>
    <row r="418" spans="1:2" s="8" customFormat="1" x14ac:dyDescent="0.35">
      <c r="A418" s="16"/>
      <c r="B418" s="16"/>
    </row>
    <row r="419" spans="1:2" s="8" customFormat="1" x14ac:dyDescent="0.35">
      <c r="A419" s="16"/>
      <c r="B419" s="16"/>
    </row>
    <row r="420" spans="1:2" s="8" customFormat="1" x14ac:dyDescent="0.35">
      <c r="A420" s="16"/>
      <c r="B420" s="16"/>
    </row>
    <row r="421" spans="1:2" s="8" customFormat="1" x14ac:dyDescent="0.35">
      <c r="A421" s="16"/>
      <c r="B421" s="16"/>
    </row>
    <row r="422" spans="1:2" s="8" customFormat="1" x14ac:dyDescent="0.35">
      <c r="A422" s="16"/>
      <c r="B422" s="16"/>
    </row>
    <row r="423" spans="1:2" s="8" customFormat="1" x14ac:dyDescent="0.35">
      <c r="A423" s="16"/>
      <c r="B423" s="16"/>
    </row>
    <row r="424" spans="1:2" s="8" customFormat="1" x14ac:dyDescent="0.35">
      <c r="A424" s="16"/>
      <c r="B424" s="16"/>
    </row>
    <row r="425" spans="1:2" s="8" customFormat="1" x14ac:dyDescent="0.35">
      <c r="A425" s="16"/>
      <c r="B425" s="16"/>
    </row>
    <row r="426" spans="1:2" s="8" customFormat="1" x14ac:dyDescent="0.35">
      <c r="A426" s="16"/>
      <c r="B426" s="16"/>
    </row>
    <row r="427" spans="1:2" s="8" customFormat="1" x14ac:dyDescent="0.35">
      <c r="A427" s="16"/>
      <c r="B427" s="16"/>
    </row>
    <row r="428" spans="1:2" s="8" customFormat="1" x14ac:dyDescent="0.35">
      <c r="A428" s="16"/>
      <c r="B428" s="16"/>
    </row>
    <row r="429" spans="1:2" s="8" customFormat="1" x14ac:dyDescent="0.35">
      <c r="A429" s="16"/>
      <c r="B429" s="16"/>
    </row>
    <row r="430" spans="1:2" s="8" customFormat="1" x14ac:dyDescent="0.35">
      <c r="A430" s="16"/>
      <c r="B430" s="16"/>
    </row>
    <row r="431" spans="1:2" s="8" customFormat="1" x14ac:dyDescent="0.35">
      <c r="A431" s="16"/>
      <c r="B431" s="16"/>
    </row>
    <row r="432" spans="1:2" s="8" customFormat="1" x14ac:dyDescent="0.35">
      <c r="A432" s="16"/>
      <c r="B432" s="16"/>
    </row>
    <row r="433" spans="1:2" s="8" customFormat="1" x14ac:dyDescent="0.35">
      <c r="A433" s="16"/>
      <c r="B433" s="16"/>
    </row>
    <row r="434" spans="1:2" s="8" customFormat="1" x14ac:dyDescent="0.35">
      <c r="A434" s="16"/>
      <c r="B434" s="16"/>
    </row>
    <row r="435" spans="1:2" s="8" customFormat="1" x14ac:dyDescent="0.35">
      <c r="A435" s="16"/>
      <c r="B435" s="16"/>
    </row>
    <row r="436" spans="1:2" s="8" customFormat="1" x14ac:dyDescent="0.35">
      <c r="A436" s="16"/>
      <c r="B436" s="16"/>
    </row>
    <row r="437" spans="1:2" s="8" customFormat="1" x14ac:dyDescent="0.35">
      <c r="A437" s="16"/>
      <c r="B437" s="16"/>
    </row>
    <row r="438" spans="1:2" s="8" customFormat="1" x14ac:dyDescent="0.35">
      <c r="A438" s="16"/>
      <c r="B438" s="16"/>
    </row>
    <row r="439" spans="1:2" s="8" customFormat="1" x14ac:dyDescent="0.35">
      <c r="A439" s="16"/>
      <c r="B439" s="16"/>
    </row>
    <row r="440" spans="1:2" s="8" customFormat="1" x14ac:dyDescent="0.35">
      <c r="A440" s="16"/>
      <c r="B440" s="16"/>
    </row>
    <row r="441" spans="1:2" s="8" customFormat="1" x14ac:dyDescent="0.35">
      <c r="A441" s="16"/>
      <c r="B441" s="16"/>
    </row>
    <row r="442" spans="1:2" s="8" customFormat="1" x14ac:dyDescent="0.35">
      <c r="A442" s="16"/>
      <c r="B442" s="16"/>
    </row>
    <row r="443" spans="1:2" s="8" customFormat="1" x14ac:dyDescent="0.35">
      <c r="A443" s="16"/>
      <c r="B443" s="16"/>
    </row>
    <row r="444" spans="1:2" s="8" customFormat="1" x14ac:dyDescent="0.35">
      <c r="A444" s="16"/>
      <c r="B444" s="16"/>
    </row>
    <row r="445" spans="1:2" s="8" customFormat="1" x14ac:dyDescent="0.35">
      <c r="A445" s="16"/>
      <c r="B445" s="16"/>
    </row>
    <row r="446" spans="1:2" s="8" customFormat="1" x14ac:dyDescent="0.35">
      <c r="A446" s="16"/>
      <c r="B446" s="16"/>
    </row>
    <row r="447" spans="1:2" s="8" customFormat="1" x14ac:dyDescent="0.35">
      <c r="A447" s="16"/>
      <c r="B447" s="16"/>
    </row>
    <row r="448" spans="1:2" s="8" customFormat="1" x14ac:dyDescent="0.35">
      <c r="A448" s="16"/>
      <c r="B448" s="16"/>
    </row>
    <row r="449" spans="1:2" s="8" customFormat="1" x14ac:dyDescent="0.35">
      <c r="A449" s="16"/>
      <c r="B449" s="16"/>
    </row>
    <row r="450" spans="1:2" s="8" customFormat="1" x14ac:dyDescent="0.35">
      <c r="A450" s="16"/>
      <c r="B450" s="16"/>
    </row>
    <row r="451" spans="1:2" s="8" customFormat="1" x14ac:dyDescent="0.35">
      <c r="A451" s="16"/>
      <c r="B451" s="16"/>
    </row>
    <row r="452" spans="1:2" s="8" customFormat="1" x14ac:dyDescent="0.35">
      <c r="A452" s="16"/>
      <c r="B452" s="16"/>
    </row>
    <row r="453" spans="1:2" s="8" customFormat="1" x14ac:dyDescent="0.35">
      <c r="A453" s="16"/>
      <c r="B453" s="16"/>
    </row>
    <row r="454" spans="1:2" s="8" customFormat="1" x14ac:dyDescent="0.35">
      <c r="A454" s="16"/>
      <c r="B454" s="16"/>
    </row>
    <row r="455" spans="1:2" s="8" customFormat="1" x14ac:dyDescent="0.35">
      <c r="A455" s="16"/>
      <c r="B455" s="16"/>
    </row>
    <row r="456" spans="1:2" s="8" customFormat="1" x14ac:dyDescent="0.35">
      <c r="A456" s="16"/>
      <c r="B456" s="16"/>
    </row>
    <row r="457" spans="1:2" s="8" customFormat="1" x14ac:dyDescent="0.35">
      <c r="A457" s="16"/>
      <c r="B457" s="16"/>
    </row>
    <row r="458" spans="1:2" s="8" customFormat="1" x14ac:dyDescent="0.35">
      <c r="A458" s="16"/>
      <c r="B458" s="16"/>
    </row>
    <row r="459" spans="1:2" s="8" customFormat="1" x14ac:dyDescent="0.35">
      <c r="A459" s="16"/>
      <c r="B459" s="16"/>
    </row>
    <row r="460" spans="1:2" s="8" customFormat="1" x14ac:dyDescent="0.35">
      <c r="A460" s="16"/>
      <c r="B460" s="16"/>
    </row>
    <row r="461" spans="1:2" s="8" customFormat="1" x14ac:dyDescent="0.35">
      <c r="A461" s="16"/>
      <c r="B461" s="16"/>
    </row>
    <row r="462" spans="1:2" s="8" customFormat="1" x14ac:dyDescent="0.35">
      <c r="A462" s="16"/>
      <c r="B462" s="16"/>
    </row>
    <row r="463" spans="1:2" s="8" customFormat="1" x14ac:dyDescent="0.35">
      <c r="A463" s="16"/>
      <c r="B463" s="16"/>
    </row>
    <row r="464" spans="1:2" s="8" customFormat="1" x14ac:dyDescent="0.35">
      <c r="A464" s="16"/>
      <c r="B464" s="16"/>
    </row>
    <row r="465" spans="1:2" s="8" customFormat="1" x14ac:dyDescent="0.35">
      <c r="A465" s="16"/>
      <c r="B465" s="16"/>
    </row>
    <row r="466" spans="1:2" s="8" customFormat="1" x14ac:dyDescent="0.35">
      <c r="A466" s="16"/>
      <c r="B466" s="16"/>
    </row>
    <row r="467" spans="1:2" s="8" customFormat="1" x14ac:dyDescent="0.35">
      <c r="A467" s="16"/>
      <c r="B467" s="16"/>
    </row>
    <row r="468" spans="1:2" s="8" customFormat="1" x14ac:dyDescent="0.35">
      <c r="A468" s="16"/>
      <c r="B468" s="16"/>
    </row>
    <row r="469" spans="1:2" s="8" customFormat="1" x14ac:dyDescent="0.35">
      <c r="A469" s="16"/>
      <c r="B469" s="16"/>
    </row>
    <row r="470" spans="1:2" s="8" customFormat="1" x14ac:dyDescent="0.35">
      <c r="A470" s="16"/>
      <c r="B470" s="16"/>
    </row>
    <row r="471" spans="1:2" s="8" customFormat="1" x14ac:dyDescent="0.35">
      <c r="A471" s="16"/>
      <c r="B471" s="16"/>
    </row>
    <row r="472" spans="1:2" s="8" customFormat="1" x14ac:dyDescent="0.35">
      <c r="A472" s="16"/>
      <c r="B472" s="16"/>
    </row>
    <row r="473" spans="1:2" s="8" customFormat="1" x14ac:dyDescent="0.35">
      <c r="A473" s="16"/>
      <c r="B473" s="16"/>
    </row>
    <row r="474" spans="1:2" s="8" customFormat="1" x14ac:dyDescent="0.35">
      <c r="A474" s="16"/>
      <c r="B474" s="16"/>
    </row>
    <row r="475" spans="1:2" s="8" customFormat="1" x14ac:dyDescent="0.35">
      <c r="A475" s="16"/>
      <c r="B475" s="16"/>
    </row>
    <row r="476" spans="1:2" s="8" customFormat="1" x14ac:dyDescent="0.35">
      <c r="A476" s="16"/>
      <c r="B476" s="16"/>
    </row>
    <row r="477" spans="1:2" s="8" customFormat="1" x14ac:dyDescent="0.35">
      <c r="A477" s="16"/>
      <c r="B477" s="16"/>
    </row>
    <row r="478" spans="1:2" s="8" customFormat="1" x14ac:dyDescent="0.35">
      <c r="A478" s="16"/>
      <c r="B478" s="16"/>
    </row>
    <row r="479" spans="1:2" s="8" customFormat="1" x14ac:dyDescent="0.35">
      <c r="A479" s="16"/>
      <c r="B479" s="16"/>
    </row>
    <row r="480" spans="1:2" s="8" customFormat="1" x14ac:dyDescent="0.35">
      <c r="A480" s="16"/>
      <c r="B480" s="16"/>
    </row>
    <row r="481" spans="1:2" s="8" customFormat="1" x14ac:dyDescent="0.35">
      <c r="A481" s="16"/>
      <c r="B481" s="16"/>
    </row>
    <row r="482" spans="1:2" s="8" customFormat="1" x14ac:dyDescent="0.35">
      <c r="A482" s="16"/>
      <c r="B482" s="16"/>
    </row>
    <row r="483" spans="1:2" s="8" customFormat="1" x14ac:dyDescent="0.35">
      <c r="A483" s="16"/>
      <c r="B483" s="16"/>
    </row>
    <row r="484" spans="1:2" s="8" customFormat="1" x14ac:dyDescent="0.35">
      <c r="A484" s="16"/>
      <c r="B484" s="16"/>
    </row>
    <row r="485" spans="1:2" s="8" customFormat="1" x14ac:dyDescent="0.35">
      <c r="A485" s="16"/>
      <c r="B485" s="16"/>
    </row>
    <row r="486" spans="1:2" s="8" customFormat="1" x14ac:dyDescent="0.35">
      <c r="A486" s="16"/>
      <c r="B486" s="16"/>
    </row>
    <row r="487" spans="1:2" s="8" customFormat="1" x14ac:dyDescent="0.35">
      <c r="A487" s="16"/>
      <c r="B487" s="16"/>
    </row>
    <row r="488" spans="1:2" s="8" customFormat="1" x14ac:dyDescent="0.35">
      <c r="A488" s="16"/>
      <c r="B488" s="16"/>
    </row>
    <row r="489" spans="1:2" s="8" customFormat="1" x14ac:dyDescent="0.35">
      <c r="A489" s="16"/>
      <c r="B489" s="16"/>
    </row>
    <row r="490" spans="1:2" s="8" customFormat="1" x14ac:dyDescent="0.35">
      <c r="A490" s="16"/>
      <c r="B490" s="16"/>
    </row>
    <row r="491" spans="1:2" s="8" customFormat="1" x14ac:dyDescent="0.35">
      <c r="A491" s="16"/>
      <c r="B491" s="16"/>
    </row>
    <row r="492" spans="1:2" s="8" customFormat="1" x14ac:dyDescent="0.35">
      <c r="A492" s="16"/>
      <c r="B492" s="16"/>
    </row>
    <row r="493" spans="1:2" s="8" customFormat="1" x14ac:dyDescent="0.35">
      <c r="A493" s="16"/>
      <c r="B493" s="16"/>
    </row>
    <row r="494" spans="1:2" s="8" customFormat="1" x14ac:dyDescent="0.35">
      <c r="A494" s="16"/>
      <c r="B494" s="16"/>
    </row>
    <row r="495" spans="1:2" s="8" customFormat="1" x14ac:dyDescent="0.35">
      <c r="A495" s="16"/>
      <c r="B495" s="16"/>
    </row>
    <row r="496" spans="1:2" s="8" customFormat="1" x14ac:dyDescent="0.35">
      <c r="A496" s="16"/>
      <c r="B496" s="16"/>
    </row>
    <row r="497" spans="1:2" s="8" customFormat="1" x14ac:dyDescent="0.35">
      <c r="A497" s="16"/>
      <c r="B497" s="16"/>
    </row>
    <row r="498" spans="1:2" s="8" customFormat="1" x14ac:dyDescent="0.35">
      <c r="A498" s="16"/>
      <c r="B498" s="16"/>
    </row>
    <row r="499" spans="1:2" s="8" customFormat="1" x14ac:dyDescent="0.35">
      <c r="A499" s="16"/>
      <c r="B499" s="16"/>
    </row>
    <row r="500" spans="1:2" s="8" customFormat="1" x14ac:dyDescent="0.35">
      <c r="A500" s="16"/>
      <c r="B500" s="16"/>
    </row>
    <row r="501" spans="1:2" s="8" customFormat="1" x14ac:dyDescent="0.35">
      <c r="A501" s="16"/>
      <c r="B501" s="16"/>
    </row>
    <row r="502" spans="1:2" s="8" customFormat="1" x14ac:dyDescent="0.35">
      <c r="A502" s="16"/>
      <c r="B502" s="16"/>
    </row>
    <row r="503" spans="1:2" s="8" customFormat="1" x14ac:dyDescent="0.35">
      <c r="A503" s="16"/>
      <c r="B503" s="16"/>
    </row>
    <row r="504" spans="1:2" s="8" customFormat="1" x14ac:dyDescent="0.35">
      <c r="A504" s="16"/>
      <c r="B504" s="16"/>
    </row>
    <row r="505" spans="1:2" s="8" customFormat="1" x14ac:dyDescent="0.35">
      <c r="A505" s="16"/>
      <c r="B505" s="16"/>
    </row>
    <row r="506" spans="1:2" s="8" customFormat="1" x14ac:dyDescent="0.35">
      <c r="A506" s="16"/>
      <c r="B506" s="16"/>
    </row>
    <row r="507" spans="1:2" s="8" customFormat="1" x14ac:dyDescent="0.35">
      <c r="A507" s="16"/>
      <c r="B507" s="16"/>
    </row>
    <row r="508" spans="1:2" s="8" customFormat="1" x14ac:dyDescent="0.35">
      <c r="A508" s="16"/>
      <c r="B508" s="16"/>
    </row>
    <row r="509" spans="1:2" s="8" customFormat="1" x14ac:dyDescent="0.35">
      <c r="A509" s="16"/>
      <c r="B509" s="16"/>
    </row>
    <row r="510" spans="1:2" s="8" customFormat="1" x14ac:dyDescent="0.35">
      <c r="A510" s="16"/>
      <c r="B510" s="16"/>
    </row>
    <row r="511" spans="1:2" s="8" customFormat="1" x14ac:dyDescent="0.35">
      <c r="A511" s="16"/>
      <c r="B511" s="16"/>
    </row>
    <row r="512" spans="1:2" s="8" customFormat="1" x14ac:dyDescent="0.35">
      <c r="A512" s="16"/>
      <c r="B512" s="16"/>
    </row>
    <row r="513" spans="1:2" s="8" customFormat="1" x14ac:dyDescent="0.35">
      <c r="A513" s="16"/>
      <c r="B513" s="16"/>
    </row>
    <row r="514" spans="1:2" s="8" customFormat="1" x14ac:dyDescent="0.35">
      <c r="A514" s="16"/>
      <c r="B514" s="16"/>
    </row>
    <row r="515" spans="1:2" s="8" customFormat="1" x14ac:dyDescent="0.35">
      <c r="A515" s="16"/>
      <c r="B515" s="16"/>
    </row>
    <row r="516" spans="1:2" s="8" customFormat="1" x14ac:dyDescent="0.35">
      <c r="A516" s="16"/>
      <c r="B516" s="16"/>
    </row>
    <row r="517" spans="1:2" s="8" customFormat="1" x14ac:dyDescent="0.35">
      <c r="A517" s="16"/>
      <c r="B517" s="16"/>
    </row>
    <row r="518" spans="1:2" s="8" customFormat="1" x14ac:dyDescent="0.35">
      <c r="A518" s="16"/>
      <c r="B518" s="16"/>
    </row>
    <row r="519" spans="1:2" s="8" customFormat="1" x14ac:dyDescent="0.35">
      <c r="A519" s="16"/>
      <c r="B519" s="16"/>
    </row>
    <row r="520" spans="1:2" s="8" customFormat="1" x14ac:dyDescent="0.35">
      <c r="A520" s="16"/>
      <c r="B520" s="16"/>
    </row>
    <row r="521" spans="1:2" s="8" customFormat="1" x14ac:dyDescent="0.35">
      <c r="A521" s="16"/>
      <c r="B521" s="16"/>
    </row>
    <row r="522" spans="1:2" s="8" customFormat="1" x14ac:dyDescent="0.35">
      <c r="A522" s="16"/>
      <c r="B522" s="16"/>
    </row>
    <row r="523" spans="1:2" s="8" customFormat="1" x14ac:dyDescent="0.35">
      <c r="A523" s="16"/>
      <c r="B523" s="16"/>
    </row>
    <row r="524" spans="1:2" s="8" customFormat="1" x14ac:dyDescent="0.35">
      <c r="A524" s="16"/>
      <c r="B524" s="16"/>
    </row>
    <row r="525" spans="1:2" s="8" customFormat="1" x14ac:dyDescent="0.35">
      <c r="A525" s="16"/>
      <c r="B525" s="16"/>
    </row>
    <row r="526" spans="1:2" s="8" customFormat="1" x14ac:dyDescent="0.35">
      <c r="A526" s="16"/>
      <c r="B526" s="16"/>
    </row>
    <row r="527" spans="1:2" s="8" customFormat="1" x14ac:dyDescent="0.35">
      <c r="A527" s="16"/>
      <c r="B527" s="16"/>
    </row>
    <row r="528" spans="1:2" s="8" customFormat="1" x14ac:dyDescent="0.35">
      <c r="A528" s="16"/>
      <c r="B528" s="16"/>
    </row>
    <row r="529" spans="1:2" s="8" customFormat="1" x14ac:dyDescent="0.35">
      <c r="A529" s="16"/>
      <c r="B529" s="16"/>
    </row>
    <row r="530" spans="1:2" s="8" customFormat="1" x14ac:dyDescent="0.35">
      <c r="A530" s="16"/>
      <c r="B530" s="16"/>
    </row>
    <row r="531" spans="1:2" s="8" customFormat="1" x14ac:dyDescent="0.35">
      <c r="A531" s="16"/>
      <c r="B531" s="16"/>
    </row>
    <row r="532" spans="1:2" s="8" customFormat="1" x14ac:dyDescent="0.35">
      <c r="A532" s="16"/>
      <c r="B532" s="16"/>
    </row>
    <row r="533" spans="1:2" s="8" customFormat="1" x14ac:dyDescent="0.35">
      <c r="A533" s="16"/>
      <c r="B533" s="16"/>
    </row>
    <row r="534" spans="1:2" s="8" customFormat="1" x14ac:dyDescent="0.35">
      <c r="A534" s="16"/>
      <c r="B534" s="16"/>
    </row>
    <row r="535" spans="1:2" s="8" customFormat="1" x14ac:dyDescent="0.35">
      <c r="A535" s="16"/>
      <c r="B535" s="16"/>
    </row>
    <row r="536" spans="1:2" s="8" customFormat="1" x14ac:dyDescent="0.35">
      <c r="A536" s="16"/>
      <c r="B536" s="16"/>
    </row>
    <row r="537" spans="1:2" s="8" customFormat="1" x14ac:dyDescent="0.35">
      <c r="A537" s="16"/>
      <c r="B537" s="16"/>
    </row>
    <row r="538" spans="1:2" s="8" customFormat="1" x14ac:dyDescent="0.35">
      <c r="A538" s="16"/>
      <c r="B538" s="16"/>
    </row>
    <row r="539" spans="1:2" s="8" customFormat="1" x14ac:dyDescent="0.35">
      <c r="A539" s="16"/>
      <c r="B539" s="16"/>
    </row>
    <row r="540" spans="1:2" s="8" customFormat="1" x14ac:dyDescent="0.35">
      <c r="A540" s="16"/>
      <c r="B540" s="16"/>
    </row>
    <row r="541" spans="1:2" s="8" customFormat="1" x14ac:dyDescent="0.35">
      <c r="A541" s="16"/>
      <c r="B541" s="16"/>
    </row>
    <row r="542" spans="1:2" s="8" customFormat="1" x14ac:dyDescent="0.35">
      <c r="A542" s="16"/>
      <c r="B542" s="16"/>
    </row>
    <row r="543" spans="1:2" s="8" customFormat="1" x14ac:dyDescent="0.35">
      <c r="A543" s="16"/>
      <c r="B543" s="16"/>
    </row>
    <row r="544" spans="1:2" s="8" customFormat="1" x14ac:dyDescent="0.35">
      <c r="A544" s="16"/>
      <c r="B544" s="16"/>
    </row>
    <row r="545" spans="1:2" s="8" customFormat="1" x14ac:dyDescent="0.35">
      <c r="A545" s="16"/>
      <c r="B545" s="16"/>
    </row>
    <row r="546" spans="1:2" s="8" customFormat="1" x14ac:dyDescent="0.35">
      <c r="A546" s="16"/>
      <c r="B546" s="16"/>
    </row>
    <row r="547" spans="1:2" s="8" customFormat="1" x14ac:dyDescent="0.35">
      <c r="A547" s="16"/>
      <c r="B547" s="16"/>
    </row>
    <row r="548" spans="1:2" s="8" customFormat="1" x14ac:dyDescent="0.35">
      <c r="A548" s="16"/>
      <c r="B548" s="16"/>
    </row>
    <row r="549" spans="1:2" s="8" customFormat="1" x14ac:dyDescent="0.35">
      <c r="A549" s="16"/>
      <c r="B549" s="16"/>
    </row>
    <row r="550" spans="1:2" s="8" customFormat="1" x14ac:dyDescent="0.35">
      <c r="A550" s="16"/>
      <c r="B550" s="16"/>
    </row>
    <row r="551" spans="1:2" s="8" customFormat="1" x14ac:dyDescent="0.35">
      <c r="A551" s="16"/>
      <c r="B551" s="16"/>
    </row>
    <row r="552" spans="1:2" s="8" customFormat="1" x14ac:dyDescent="0.35">
      <c r="A552" s="16"/>
      <c r="B552" s="16"/>
    </row>
    <row r="553" spans="1:2" s="8" customFormat="1" x14ac:dyDescent="0.35">
      <c r="A553" s="16"/>
      <c r="B553" s="16"/>
    </row>
    <row r="554" spans="1:2" s="8" customFormat="1" x14ac:dyDescent="0.35">
      <c r="A554" s="16"/>
      <c r="B554" s="16"/>
    </row>
    <row r="555" spans="1:2" s="8" customFormat="1" x14ac:dyDescent="0.35">
      <c r="A555" s="16"/>
      <c r="B555" s="16"/>
    </row>
    <row r="556" spans="1:2" s="8" customFormat="1" x14ac:dyDescent="0.35">
      <c r="A556" s="16"/>
      <c r="B556" s="16"/>
    </row>
    <row r="557" spans="1:2" s="8" customFormat="1" x14ac:dyDescent="0.35">
      <c r="A557" s="16"/>
      <c r="B557" s="16"/>
    </row>
    <row r="558" spans="1:2" s="8" customFormat="1" x14ac:dyDescent="0.35">
      <c r="A558" s="16"/>
      <c r="B558" s="16"/>
    </row>
    <row r="559" spans="1:2" s="8" customFormat="1" x14ac:dyDescent="0.35">
      <c r="A559" s="16"/>
      <c r="B559" s="16"/>
    </row>
    <row r="560" spans="1:2" s="8" customFormat="1" x14ac:dyDescent="0.35">
      <c r="A560" s="16"/>
      <c r="B560" s="16"/>
    </row>
    <row r="561" spans="1:2" s="8" customFormat="1" x14ac:dyDescent="0.35">
      <c r="A561" s="16"/>
      <c r="B561" s="16"/>
    </row>
    <row r="562" spans="1:2" s="8" customFormat="1" x14ac:dyDescent="0.35">
      <c r="A562" s="16"/>
      <c r="B562" s="16"/>
    </row>
    <row r="563" spans="1:2" s="8" customFormat="1" x14ac:dyDescent="0.35">
      <c r="A563" s="16"/>
      <c r="B563" s="16"/>
    </row>
    <row r="564" spans="1:2" s="8" customFormat="1" x14ac:dyDescent="0.35">
      <c r="A564" s="16"/>
      <c r="B564" s="16"/>
    </row>
    <row r="565" spans="1:2" s="8" customFormat="1" x14ac:dyDescent="0.35">
      <c r="A565" s="16"/>
      <c r="B565" s="16"/>
    </row>
    <row r="566" spans="1:2" s="8" customFormat="1" x14ac:dyDescent="0.35">
      <c r="A566" s="16"/>
      <c r="B566" s="16"/>
    </row>
    <row r="567" spans="1:2" s="8" customFormat="1" x14ac:dyDescent="0.35">
      <c r="A567" s="16"/>
      <c r="B567" s="16"/>
    </row>
    <row r="568" spans="1:2" s="8" customFormat="1" x14ac:dyDescent="0.35">
      <c r="A568" s="16"/>
      <c r="B568" s="16"/>
    </row>
    <row r="569" spans="1:2" s="8" customFormat="1" x14ac:dyDescent="0.35">
      <c r="A569" s="16"/>
      <c r="B569" s="16"/>
    </row>
    <row r="570" spans="1:2" s="8" customFormat="1" x14ac:dyDescent="0.35">
      <c r="A570" s="16"/>
      <c r="B570" s="16"/>
    </row>
    <row r="571" spans="1:2" s="8" customFormat="1" x14ac:dyDescent="0.35">
      <c r="A571" s="16"/>
      <c r="B571" s="16"/>
    </row>
    <row r="572" spans="1:2" s="8" customFormat="1" x14ac:dyDescent="0.35">
      <c r="A572" s="16"/>
      <c r="B572" s="16"/>
    </row>
    <row r="573" spans="1:2" s="8" customFormat="1" x14ac:dyDescent="0.35">
      <c r="A573" s="16"/>
      <c r="B573" s="16"/>
    </row>
    <row r="574" spans="1:2" s="8" customFormat="1" x14ac:dyDescent="0.35">
      <c r="A574" s="16"/>
      <c r="B574" s="16"/>
    </row>
    <row r="575" spans="1:2" s="8" customFormat="1" x14ac:dyDescent="0.35">
      <c r="A575" s="16"/>
      <c r="B575" s="16"/>
    </row>
    <row r="576" spans="1:2" s="8" customFormat="1" x14ac:dyDescent="0.35">
      <c r="A576" s="16"/>
      <c r="B576" s="16"/>
    </row>
    <row r="577" spans="1:2" s="8" customFormat="1" x14ac:dyDescent="0.35">
      <c r="A577" s="16"/>
      <c r="B577" s="16"/>
    </row>
    <row r="578" spans="1:2" s="8" customFormat="1" x14ac:dyDescent="0.35">
      <c r="A578" s="16"/>
      <c r="B578" s="16"/>
    </row>
    <row r="579" spans="1:2" s="8" customFormat="1" x14ac:dyDescent="0.35">
      <c r="A579" s="16"/>
      <c r="B579" s="16"/>
    </row>
    <row r="580" spans="1:2" s="8" customFormat="1" x14ac:dyDescent="0.35">
      <c r="A580" s="16"/>
      <c r="B580" s="16"/>
    </row>
    <row r="581" spans="1:2" s="8" customFormat="1" x14ac:dyDescent="0.35">
      <c r="A581" s="16"/>
      <c r="B581" s="16"/>
    </row>
    <row r="582" spans="1:2" s="8" customFormat="1" x14ac:dyDescent="0.35">
      <c r="A582" s="16"/>
      <c r="B582" s="16"/>
    </row>
    <row r="583" spans="1:2" s="8" customFormat="1" x14ac:dyDescent="0.35">
      <c r="A583" s="16"/>
      <c r="B583" s="16"/>
    </row>
    <row r="584" spans="1:2" s="8" customFormat="1" x14ac:dyDescent="0.35">
      <c r="A584" s="16"/>
      <c r="B584" s="16"/>
    </row>
    <row r="585" spans="1:2" s="8" customFormat="1" x14ac:dyDescent="0.35">
      <c r="A585" s="16"/>
      <c r="B585" s="16"/>
    </row>
    <row r="586" spans="1:2" s="8" customFormat="1" x14ac:dyDescent="0.35">
      <c r="A586" s="16"/>
      <c r="B586" s="16"/>
    </row>
    <row r="587" spans="1:2" s="8" customFormat="1" x14ac:dyDescent="0.35">
      <c r="A587" s="16"/>
      <c r="B587" s="16"/>
    </row>
    <row r="588" spans="1:2" s="8" customFormat="1" x14ac:dyDescent="0.35">
      <c r="A588" s="16"/>
      <c r="B588" s="16"/>
    </row>
    <row r="589" spans="1:2" s="8" customFormat="1" x14ac:dyDescent="0.35">
      <c r="A589" s="16"/>
      <c r="B589" s="16"/>
    </row>
    <row r="590" spans="1:2" s="8" customFormat="1" x14ac:dyDescent="0.35">
      <c r="A590" s="16"/>
      <c r="B590" s="16"/>
    </row>
    <row r="591" spans="1:2" s="8" customFormat="1" x14ac:dyDescent="0.35">
      <c r="A591" s="16"/>
      <c r="B591" s="16"/>
    </row>
    <row r="592" spans="1:2" s="8" customFormat="1" x14ac:dyDescent="0.35">
      <c r="A592" s="16"/>
      <c r="B592" s="16"/>
    </row>
    <row r="593" spans="1:2" s="8" customFormat="1" x14ac:dyDescent="0.35">
      <c r="A593" s="16"/>
      <c r="B593" s="16"/>
    </row>
    <row r="594" spans="1:2" s="8" customFormat="1" x14ac:dyDescent="0.35">
      <c r="A594" s="16"/>
      <c r="B594" s="16"/>
    </row>
    <row r="595" spans="1:2" s="8" customFormat="1" x14ac:dyDescent="0.35">
      <c r="A595" s="16"/>
      <c r="B595" s="16"/>
    </row>
    <row r="596" spans="1:2" s="8" customFormat="1" x14ac:dyDescent="0.35">
      <c r="A596" s="16"/>
      <c r="B596" s="16"/>
    </row>
    <row r="597" spans="1:2" s="8" customFormat="1" x14ac:dyDescent="0.35">
      <c r="A597" s="16"/>
      <c r="B597" s="16"/>
    </row>
    <row r="598" spans="1:2" s="8" customFormat="1" x14ac:dyDescent="0.35">
      <c r="A598" s="16"/>
      <c r="B598" s="16"/>
    </row>
    <row r="599" spans="1:2" s="8" customFormat="1" x14ac:dyDescent="0.35">
      <c r="A599" s="16"/>
      <c r="B599" s="16"/>
    </row>
    <row r="600" spans="1:2" s="8" customFormat="1" x14ac:dyDescent="0.35">
      <c r="A600" s="16"/>
      <c r="B600" s="16"/>
    </row>
    <row r="601" spans="1:2" s="8" customFormat="1" x14ac:dyDescent="0.35">
      <c r="A601" s="16"/>
      <c r="B601" s="16"/>
    </row>
    <row r="602" spans="1:2" s="8" customFormat="1" x14ac:dyDescent="0.35">
      <c r="A602" s="16"/>
      <c r="B602" s="16"/>
    </row>
    <row r="603" spans="1:2" s="8" customFormat="1" x14ac:dyDescent="0.35">
      <c r="A603" s="16"/>
      <c r="B603" s="16"/>
    </row>
    <row r="604" spans="1:2" s="8" customFormat="1" x14ac:dyDescent="0.35">
      <c r="A604" s="16"/>
      <c r="B604" s="16"/>
    </row>
    <row r="605" spans="1:2" s="8" customFormat="1" x14ac:dyDescent="0.35">
      <c r="A605" s="16"/>
      <c r="B605" s="16"/>
    </row>
    <row r="606" spans="1:2" s="8" customFormat="1" x14ac:dyDescent="0.35">
      <c r="A606" s="16"/>
      <c r="B606" s="16"/>
    </row>
    <row r="607" spans="1:2" s="8" customFormat="1" x14ac:dyDescent="0.35">
      <c r="A607" s="16"/>
      <c r="B607" s="16"/>
    </row>
    <row r="608" spans="1:2" s="8" customFormat="1" x14ac:dyDescent="0.35">
      <c r="A608" s="16"/>
      <c r="B608" s="16"/>
    </row>
    <row r="609" spans="1:2" s="8" customFormat="1" x14ac:dyDescent="0.35">
      <c r="A609" s="16"/>
      <c r="B609" s="16"/>
    </row>
    <row r="610" spans="1:2" s="8" customFormat="1" x14ac:dyDescent="0.35">
      <c r="A610" s="16"/>
      <c r="B610" s="16"/>
    </row>
    <row r="611" spans="1:2" s="8" customFormat="1" x14ac:dyDescent="0.35">
      <c r="A611" s="16"/>
      <c r="B611" s="16"/>
    </row>
    <row r="612" spans="1:2" s="8" customFormat="1" x14ac:dyDescent="0.35">
      <c r="A612" s="16"/>
      <c r="B612" s="16"/>
    </row>
    <row r="613" spans="1:2" s="8" customFormat="1" x14ac:dyDescent="0.35">
      <c r="A613" s="16"/>
      <c r="B613" s="16"/>
    </row>
    <row r="614" spans="1:2" s="8" customFormat="1" x14ac:dyDescent="0.35">
      <c r="A614" s="16"/>
      <c r="B614" s="16"/>
    </row>
    <row r="615" spans="1:2" s="8" customFormat="1" x14ac:dyDescent="0.35">
      <c r="A615" s="16"/>
      <c r="B615" s="16"/>
    </row>
    <row r="616" spans="1:2" s="8" customFormat="1" x14ac:dyDescent="0.35">
      <c r="A616" s="16"/>
      <c r="B616" s="16"/>
    </row>
    <row r="617" spans="1:2" s="8" customFormat="1" x14ac:dyDescent="0.35">
      <c r="A617" s="16"/>
      <c r="B617" s="16"/>
    </row>
    <row r="618" spans="1:2" s="8" customFormat="1" x14ac:dyDescent="0.35">
      <c r="A618" s="16"/>
      <c r="B618" s="16"/>
    </row>
    <row r="619" spans="1:2" s="8" customFormat="1" x14ac:dyDescent="0.35">
      <c r="A619" s="16"/>
      <c r="B619" s="16"/>
    </row>
    <row r="620" spans="1:2" s="8" customFormat="1" x14ac:dyDescent="0.35">
      <c r="A620" s="16"/>
      <c r="B620" s="16"/>
    </row>
    <row r="621" spans="1:2" s="8" customFormat="1" x14ac:dyDescent="0.35">
      <c r="A621" s="16"/>
      <c r="B621" s="16"/>
    </row>
    <row r="622" spans="1:2" s="8" customFormat="1" x14ac:dyDescent="0.35">
      <c r="A622" s="16"/>
      <c r="B622" s="16"/>
    </row>
    <row r="623" spans="1:2" s="8" customFormat="1" x14ac:dyDescent="0.35">
      <c r="A623" s="16"/>
      <c r="B623" s="16"/>
    </row>
    <row r="624" spans="1:2" s="8" customFormat="1" x14ac:dyDescent="0.35">
      <c r="A624" s="16"/>
      <c r="B624" s="16"/>
    </row>
    <row r="625" spans="1:2" s="8" customFormat="1" x14ac:dyDescent="0.35">
      <c r="A625" s="16"/>
      <c r="B625" s="16"/>
    </row>
    <row r="626" spans="1:2" s="8" customFormat="1" x14ac:dyDescent="0.35">
      <c r="A626" s="16"/>
      <c r="B626" s="16"/>
    </row>
    <row r="627" spans="1:2" s="8" customFormat="1" x14ac:dyDescent="0.35">
      <c r="A627" s="16"/>
      <c r="B627" s="16"/>
    </row>
    <row r="628" spans="1:2" s="8" customFormat="1" x14ac:dyDescent="0.35">
      <c r="A628" s="16"/>
      <c r="B628" s="16"/>
    </row>
    <row r="629" spans="1:2" s="8" customFormat="1" x14ac:dyDescent="0.35">
      <c r="A629" s="16"/>
      <c r="B629" s="16"/>
    </row>
    <row r="630" spans="1:2" s="8" customFormat="1" x14ac:dyDescent="0.35">
      <c r="A630" s="16"/>
      <c r="B630" s="16"/>
    </row>
    <row r="631" spans="1:2" s="8" customFormat="1" x14ac:dyDescent="0.35">
      <c r="A631" s="16"/>
      <c r="B631" s="16"/>
    </row>
    <row r="632" spans="1:2" s="8" customFormat="1" x14ac:dyDescent="0.35">
      <c r="A632" s="16"/>
      <c r="B632" s="16"/>
    </row>
    <row r="633" spans="1:2" s="8" customFormat="1" x14ac:dyDescent="0.35">
      <c r="A633" s="16"/>
      <c r="B633" s="16"/>
    </row>
    <row r="634" spans="1:2" s="8" customFormat="1" x14ac:dyDescent="0.35">
      <c r="A634" s="16"/>
      <c r="B634" s="16"/>
    </row>
    <row r="635" spans="1:2" s="8" customFormat="1" x14ac:dyDescent="0.35">
      <c r="A635" s="16"/>
      <c r="B635" s="16"/>
    </row>
    <row r="636" spans="1:2" s="8" customFormat="1" x14ac:dyDescent="0.35">
      <c r="A636" s="16"/>
      <c r="B636" s="16"/>
    </row>
    <row r="637" spans="1:2" s="8" customFormat="1" x14ac:dyDescent="0.35">
      <c r="A637" s="16"/>
      <c r="B637" s="16"/>
    </row>
    <row r="638" spans="1:2" s="8" customFormat="1" x14ac:dyDescent="0.35">
      <c r="A638" s="16"/>
      <c r="B638" s="16"/>
    </row>
    <row r="639" spans="1:2" s="8" customFormat="1" x14ac:dyDescent="0.35">
      <c r="A639" s="16"/>
      <c r="B639" s="16"/>
    </row>
    <row r="640" spans="1:2" s="8" customFormat="1" x14ac:dyDescent="0.35">
      <c r="A640" s="16"/>
      <c r="B640" s="16"/>
    </row>
    <row r="641" spans="1:2" s="8" customFormat="1" x14ac:dyDescent="0.35">
      <c r="A641" s="16"/>
      <c r="B641" s="16"/>
    </row>
    <row r="642" spans="1:2" s="8" customFormat="1" x14ac:dyDescent="0.35">
      <c r="A642" s="16"/>
      <c r="B642" s="16"/>
    </row>
    <row r="643" spans="1:2" s="8" customFormat="1" x14ac:dyDescent="0.35">
      <c r="A643" s="16"/>
      <c r="B643" s="16"/>
    </row>
    <row r="644" spans="1:2" s="8" customFormat="1" x14ac:dyDescent="0.35">
      <c r="A644" s="16"/>
      <c r="B644" s="16"/>
    </row>
    <row r="645" spans="1:2" s="8" customFormat="1" x14ac:dyDescent="0.35">
      <c r="A645" s="16"/>
      <c r="B645" s="16"/>
    </row>
    <row r="646" spans="1:2" s="8" customFormat="1" x14ac:dyDescent="0.35">
      <c r="A646" s="16"/>
      <c r="B646" s="16"/>
    </row>
    <row r="647" spans="1:2" s="8" customFormat="1" x14ac:dyDescent="0.35">
      <c r="A647" s="16"/>
      <c r="B647" s="16"/>
    </row>
    <row r="648" spans="1:2" s="8" customFormat="1" x14ac:dyDescent="0.35">
      <c r="A648" s="16"/>
      <c r="B648" s="16"/>
    </row>
    <row r="649" spans="1:2" s="8" customFormat="1" x14ac:dyDescent="0.35">
      <c r="A649" s="16"/>
      <c r="B649" s="16"/>
    </row>
    <row r="650" spans="1:2" s="8" customFormat="1" x14ac:dyDescent="0.35">
      <c r="A650" s="16"/>
      <c r="B650" s="16"/>
    </row>
    <row r="651" spans="1:2" s="8" customFormat="1" x14ac:dyDescent="0.35">
      <c r="A651" s="16"/>
      <c r="B651" s="16"/>
    </row>
    <row r="652" spans="1:2" s="8" customFormat="1" x14ac:dyDescent="0.35">
      <c r="A652" s="16"/>
      <c r="B652" s="16"/>
    </row>
    <row r="653" spans="1:2" s="8" customFormat="1" x14ac:dyDescent="0.35">
      <c r="A653" s="16"/>
      <c r="B653" s="16"/>
    </row>
    <row r="654" spans="1:2" s="8" customFormat="1" x14ac:dyDescent="0.35">
      <c r="A654" s="16"/>
      <c r="B654" s="16"/>
    </row>
    <row r="655" spans="1:2" s="8" customFormat="1" x14ac:dyDescent="0.35">
      <c r="A655" s="16"/>
      <c r="B655" s="16"/>
    </row>
    <row r="656" spans="1:2" s="8" customFormat="1" x14ac:dyDescent="0.35">
      <c r="A656" s="16"/>
      <c r="B656" s="16"/>
    </row>
    <row r="657" spans="1:2" s="8" customFormat="1" x14ac:dyDescent="0.35">
      <c r="A657" s="16"/>
      <c r="B657" s="16"/>
    </row>
    <row r="658" spans="1:2" s="8" customFormat="1" x14ac:dyDescent="0.35">
      <c r="A658" s="16"/>
      <c r="B658" s="16"/>
    </row>
    <row r="659" spans="1:2" s="8" customFormat="1" x14ac:dyDescent="0.35">
      <c r="A659" s="16"/>
      <c r="B659" s="16"/>
    </row>
    <row r="660" spans="1:2" s="8" customFormat="1" x14ac:dyDescent="0.35">
      <c r="A660" s="16"/>
      <c r="B660" s="16"/>
    </row>
    <row r="661" spans="1:2" s="8" customFormat="1" x14ac:dyDescent="0.35">
      <c r="A661" s="16"/>
      <c r="B661" s="16"/>
    </row>
    <row r="662" spans="1:2" s="8" customFormat="1" x14ac:dyDescent="0.35">
      <c r="A662" s="16"/>
      <c r="B662" s="16"/>
    </row>
    <row r="663" spans="1:2" s="8" customFormat="1" x14ac:dyDescent="0.35">
      <c r="A663" s="16"/>
      <c r="B663" s="16"/>
    </row>
    <row r="664" spans="1:2" s="8" customFormat="1" x14ac:dyDescent="0.35">
      <c r="A664" s="16"/>
      <c r="B664" s="16"/>
    </row>
    <row r="665" spans="1:2" s="8" customFormat="1" x14ac:dyDescent="0.35">
      <c r="A665" s="16"/>
      <c r="B665" s="16"/>
    </row>
    <row r="666" spans="1:2" s="8" customFormat="1" x14ac:dyDescent="0.35">
      <c r="A666" s="16"/>
      <c r="B666" s="16"/>
    </row>
    <row r="667" spans="1:2" s="8" customFormat="1" x14ac:dyDescent="0.35">
      <c r="A667" s="16"/>
      <c r="B667" s="16"/>
    </row>
    <row r="668" spans="1:2" s="8" customFormat="1" x14ac:dyDescent="0.35">
      <c r="A668" s="16"/>
      <c r="B668" s="16"/>
    </row>
    <row r="669" spans="1:2" s="8" customFormat="1" x14ac:dyDescent="0.35">
      <c r="A669" s="16"/>
      <c r="B669" s="16"/>
    </row>
    <row r="670" spans="1:2" s="8" customFormat="1" x14ac:dyDescent="0.35">
      <c r="A670" s="16"/>
      <c r="B670" s="16"/>
    </row>
    <row r="671" spans="1:2" s="8" customFormat="1" x14ac:dyDescent="0.35">
      <c r="A671" s="16"/>
      <c r="B671" s="16"/>
    </row>
    <row r="672" spans="1:2" s="8" customFormat="1" x14ac:dyDescent="0.35">
      <c r="A672" s="16"/>
      <c r="B672" s="16"/>
    </row>
    <row r="673" spans="1:2" s="8" customFormat="1" x14ac:dyDescent="0.35">
      <c r="A673" s="16"/>
      <c r="B673" s="16"/>
    </row>
    <row r="674" spans="1:2" s="8" customFormat="1" x14ac:dyDescent="0.35">
      <c r="A674" s="16"/>
      <c r="B674" s="16"/>
    </row>
    <row r="675" spans="1:2" s="8" customFormat="1" x14ac:dyDescent="0.35">
      <c r="A675" s="16"/>
      <c r="B675" s="16"/>
    </row>
    <row r="676" spans="1:2" s="8" customFormat="1" x14ac:dyDescent="0.35">
      <c r="A676" s="16"/>
      <c r="B676" s="16"/>
    </row>
    <row r="677" spans="1:2" s="8" customFormat="1" x14ac:dyDescent="0.35">
      <c r="A677" s="16"/>
      <c r="B677" s="16"/>
    </row>
    <row r="678" spans="1:2" s="8" customFormat="1" x14ac:dyDescent="0.35">
      <c r="A678" s="16"/>
      <c r="B678" s="16"/>
    </row>
    <row r="679" spans="1:2" s="8" customFormat="1" x14ac:dyDescent="0.35">
      <c r="A679" s="16"/>
      <c r="B679" s="16"/>
    </row>
    <row r="680" spans="1:2" s="8" customFormat="1" x14ac:dyDescent="0.35">
      <c r="A680" s="16"/>
      <c r="B680" s="16"/>
    </row>
    <row r="681" spans="1:2" s="8" customFormat="1" x14ac:dyDescent="0.35">
      <c r="A681" s="16"/>
      <c r="B681" s="16"/>
    </row>
    <row r="682" spans="1:2" s="8" customFormat="1" x14ac:dyDescent="0.35">
      <c r="A682" s="16"/>
      <c r="B682" s="16"/>
    </row>
    <row r="683" spans="1:2" s="8" customFormat="1" x14ac:dyDescent="0.35">
      <c r="A683" s="16"/>
      <c r="B683" s="16"/>
    </row>
    <row r="684" spans="1:2" s="8" customFormat="1" x14ac:dyDescent="0.35">
      <c r="A684" s="16"/>
      <c r="B684" s="16"/>
    </row>
    <row r="685" spans="1:2" s="8" customFormat="1" x14ac:dyDescent="0.35">
      <c r="A685" s="16"/>
      <c r="B685" s="16"/>
    </row>
    <row r="686" spans="1:2" s="8" customFormat="1" x14ac:dyDescent="0.35">
      <c r="A686" s="16"/>
      <c r="B686" s="16"/>
    </row>
    <row r="687" spans="1:2" s="8" customFormat="1" x14ac:dyDescent="0.35">
      <c r="A687" s="16"/>
      <c r="B687" s="16"/>
    </row>
    <row r="688" spans="1:2" s="8" customFormat="1" x14ac:dyDescent="0.35">
      <c r="A688" s="16"/>
      <c r="B688" s="16"/>
    </row>
    <row r="689" spans="1:2" s="8" customFormat="1" x14ac:dyDescent="0.35">
      <c r="A689" s="16"/>
      <c r="B689" s="16"/>
    </row>
    <row r="690" spans="1:2" s="8" customFormat="1" x14ac:dyDescent="0.35">
      <c r="A690" s="16"/>
      <c r="B690" s="16"/>
    </row>
    <row r="691" spans="1:2" s="8" customFormat="1" x14ac:dyDescent="0.35">
      <c r="A691" s="16"/>
      <c r="B691" s="16"/>
    </row>
    <row r="692" spans="1:2" s="8" customFormat="1" x14ac:dyDescent="0.35">
      <c r="A692" s="16"/>
      <c r="B692" s="16"/>
    </row>
    <row r="693" spans="1:2" s="8" customFormat="1" x14ac:dyDescent="0.35">
      <c r="A693" s="16"/>
      <c r="B693" s="16"/>
    </row>
    <row r="694" spans="1:2" s="8" customFormat="1" x14ac:dyDescent="0.35">
      <c r="A694" s="16"/>
      <c r="B694" s="16"/>
    </row>
    <row r="695" spans="1:2" s="8" customFormat="1" x14ac:dyDescent="0.35">
      <c r="A695" s="16"/>
      <c r="B695" s="16"/>
    </row>
    <row r="696" spans="1:2" s="8" customFormat="1" x14ac:dyDescent="0.35">
      <c r="A696" s="16"/>
      <c r="B696" s="16"/>
    </row>
    <row r="697" spans="1:2" s="8" customFormat="1" x14ac:dyDescent="0.35">
      <c r="A697" s="16"/>
      <c r="B697" s="16"/>
    </row>
    <row r="698" spans="1:2" s="8" customFormat="1" x14ac:dyDescent="0.35">
      <c r="A698" s="16"/>
      <c r="B698" s="16"/>
    </row>
    <row r="699" spans="1:2" s="8" customFormat="1" x14ac:dyDescent="0.35">
      <c r="A699" s="16"/>
      <c r="B699" s="16"/>
    </row>
    <row r="700" spans="1:2" s="8" customFormat="1" x14ac:dyDescent="0.35">
      <c r="A700" s="16"/>
      <c r="B700" s="16"/>
    </row>
    <row r="701" spans="1:2" s="8" customFormat="1" x14ac:dyDescent="0.35">
      <c r="A701" s="16"/>
      <c r="B701" s="16"/>
    </row>
    <row r="702" spans="1:2" s="8" customFormat="1" x14ac:dyDescent="0.35">
      <c r="A702" s="16"/>
      <c r="B702" s="16"/>
    </row>
    <row r="703" spans="1:2" s="8" customFormat="1" x14ac:dyDescent="0.35">
      <c r="A703" s="16"/>
      <c r="B703" s="16"/>
    </row>
    <row r="704" spans="1:2" s="8" customFormat="1" x14ac:dyDescent="0.35">
      <c r="A704" s="16"/>
      <c r="B704" s="16"/>
    </row>
    <row r="705" spans="1:2" s="8" customFormat="1" x14ac:dyDescent="0.35">
      <c r="A705" s="16"/>
      <c r="B705" s="16"/>
    </row>
    <row r="706" spans="1:2" s="8" customFormat="1" x14ac:dyDescent="0.35">
      <c r="A706" s="16"/>
      <c r="B706" s="16"/>
    </row>
    <row r="707" spans="1:2" s="8" customFormat="1" x14ac:dyDescent="0.35">
      <c r="A707" s="16"/>
      <c r="B707" s="16"/>
    </row>
    <row r="708" spans="1:2" s="8" customFormat="1" x14ac:dyDescent="0.35">
      <c r="A708" s="16"/>
      <c r="B708" s="16"/>
    </row>
    <row r="709" spans="1:2" s="8" customFormat="1" x14ac:dyDescent="0.35">
      <c r="A709" s="16"/>
      <c r="B709" s="16"/>
    </row>
    <row r="710" spans="1:2" s="8" customFormat="1" x14ac:dyDescent="0.35">
      <c r="A710" s="16"/>
      <c r="B710" s="16"/>
    </row>
    <row r="711" spans="1:2" s="8" customFormat="1" x14ac:dyDescent="0.35">
      <c r="A711" s="16"/>
      <c r="B711" s="16"/>
    </row>
    <row r="712" spans="1:2" s="8" customFormat="1" x14ac:dyDescent="0.35">
      <c r="A712" s="16"/>
      <c r="B712" s="16"/>
    </row>
    <row r="713" spans="1:2" s="8" customFormat="1" x14ac:dyDescent="0.35">
      <c r="A713" s="16"/>
      <c r="B713" s="16"/>
    </row>
    <row r="714" spans="1:2" s="8" customFormat="1" x14ac:dyDescent="0.35">
      <c r="A714" s="16"/>
      <c r="B714" s="16"/>
    </row>
    <row r="715" spans="1:2" s="8" customFormat="1" x14ac:dyDescent="0.35">
      <c r="A715" s="16"/>
      <c r="B715" s="16"/>
    </row>
    <row r="716" spans="1:2" s="8" customFormat="1" x14ac:dyDescent="0.35">
      <c r="A716" s="16"/>
      <c r="B716" s="16"/>
    </row>
    <row r="717" spans="1:2" s="8" customFormat="1" x14ac:dyDescent="0.35">
      <c r="A717" s="16"/>
      <c r="B717" s="16"/>
    </row>
    <row r="718" spans="1:2" s="8" customFormat="1" x14ac:dyDescent="0.35">
      <c r="A718" s="16"/>
      <c r="B718" s="16"/>
    </row>
    <row r="719" spans="1:2" s="8" customFormat="1" x14ac:dyDescent="0.35">
      <c r="A719" s="16"/>
      <c r="B719" s="16"/>
    </row>
    <row r="720" spans="1:2" s="8" customFormat="1" x14ac:dyDescent="0.35">
      <c r="A720" s="16"/>
      <c r="B720" s="16"/>
    </row>
    <row r="721" spans="1:2" s="8" customFormat="1" x14ac:dyDescent="0.35">
      <c r="A721" s="16"/>
      <c r="B721" s="16"/>
    </row>
    <row r="722" spans="1:2" s="8" customFormat="1" x14ac:dyDescent="0.35">
      <c r="A722" s="16"/>
      <c r="B722" s="16"/>
    </row>
    <row r="723" spans="1:2" s="8" customFormat="1" x14ac:dyDescent="0.35">
      <c r="A723" s="16"/>
      <c r="B723" s="16"/>
    </row>
    <row r="724" spans="1:2" s="8" customFormat="1" x14ac:dyDescent="0.35">
      <c r="A724" s="16"/>
      <c r="B724" s="16"/>
    </row>
    <row r="725" spans="1:2" s="8" customFormat="1" x14ac:dyDescent="0.35">
      <c r="A725" s="16"/>
      <c r="B725" s="16"/>
    </row>
    <row r="726" spans="1:2" s="8" customFormat="1" x14ac:dyDescent="0.35">
      <c r="A726" s="16"/>
      <c r="B726" s="16"/>
    </row>
    <row r="727" spans="1:2" s="8" customFormat="1" x14ac:dyDescent="0.35">
      <c r="A727" s="16"/>
      <c r="B727" s="16"/>
    </row>
    <row r="728" spans="1:2" s="8" customFormat="1" x14ac:dyDescent="0.35">
      <c r="A728" s="16"/>
      <c r="B728" s="16"/>
    </row>
    <row r="729" spans="1:2" s="8" customFormat="1" x14ac:dyDescent="0.35">
      <c r="A729" s="16"/>
      <c r="B729" s="16"/>
    </row>
    <row r="730" spans="1:2" s="8" customFormat="1" x14ac:dyDescent="0.35">
      <c r="A730" s="16"/>
      <c r="B730" s="16"/>
    </row>
    <row r="731" spans="1:2" s="8" customFormat="1" x14ac:dyDescent="0.35">
      <c r="A731" s="16"/>
      <c r="B731" s="16"/>
    </row>
    <row r="732" spans="1:2" s="8" customFormat="1" x14ac:dyDescent="0.35">
      <c r="A732" s="16"/>
      <c r="B732" s="16"/>
    </row>
    <row r="733" spans="1:2" s="8" customFormat="1" x14ac:dyDescent="0.35">
      <c r="A733" s="16"/>
      <c r="B733" s="16"/>
    </row>
    <row r="734" spans="1:2" s="8" customFormat="1" x14ac:dyDescent="0.35">
      <c r="A734" s="16"/>
      <c r="B734" s="16"/>
    </row>
    <row r="735" spans="1:2" s="8" customFormat="1" x14ac:dyDescent="0.35">
      <c r="A735" s="16"/>
      <c r="B735" s="16"/>
    </row>
    <row r="736" spans="1:2" s="8" customFormat="1" x14ac:dyDescent="0.35">
      <c r="A736" s="16"/>
      <c r="B736" s="16"/>
    </row>
    <row r="737" spans="1:2" s="8" customFormat="1" x14ac:dyDescent="0.35">
      <c r="A737" s="16"/>
      <c r="B737" s="16"/>
    </row>
    <row r="738" spans="1:2" s="8" customFormat="1" x14ac:dyDescent="0.35">
      <c r="A738" s="16"/>
      <c r="B738" s="16"/>
    </row>
    <row r="739" spans="1:2" s="8" customFormat="1" x14ac:dyDescent="0.35">
      <c r="A739" s="16"/>
      <c r="B739" s="16"/>
    </row>
    <row r="740" spans="1:2" s="8" customFormat="1" x14ac:dyDescent="0.35">
      <c r="A740" s="16"/>
      <c r="B740" s="16"/>
    </row>
    <row r="741" spans="1:2" s="8" customFormat="1" x14ac:dyDescent="0.35">
      <c r="A741" s="16"/>
      <c r="B741" s="16"/>
    </row>
    <row r="742" spans="1:2" s="8" customFormat="1" x14ac:dyDescent="0.35">
      <c r="A742" s="16"/>
      <c r="B742" s="16"/>
    </row>
    <row r="743" spans="1:2" s="8" customFormat="1" x14ac:dyDescent="0.35">
      <c r="A743" s="16"/>
      <c r="B743" s="16"/>
    </row>
    <row r="744" spans="1:2" s="8" customFormat="1" x14ac:dyDescent="0.35">
      <c r="A744" s="16"/>
      <c r="B744" s="16"/>
    </row>
    <row r="745" spans="1:2" s="8" customFormat="1" x14ac:dyDescent="0.35">
      <c r="A745" s="16"/>
      <c r="B745" s="16"/>
    </row>
    <row r="746" spans="1:2" s="8" customFormat="1" x14ac:dyDescent="0.35">
      <c r="A746" s="16"/>
      <c r="B746" s="16"/>
    </row>
    <row r="747" spans="1:2" s="8" customFormat="1" x14ac:dyDescent="0.35">
      <c r="A747" s="16"/>
      <c r="B747" s="16"/>
    </row>
    <row r="748" spans="1:2" s="8" customFormat="1" x14ac:dyDescent="0.35">
      <c r="A748" s="16"/>
      <c r="B748" s="16"/>
    </row>
    <row r="749" spans="1:2" s="8" customFormat="1" x14ac:dyDescent="0.35">
      <c r="A749" s="16"/>
      <c r="B749" s="16"/>
    </row>
    <row r="750" spans="1:2" s="8" customFormat="1" x14ac:dyDescent="0.35">
      <c r="A750" s="16"/>
      <c r="B750" s="16"/>
    </row>
    <row r="751" spans="1:2" s="8" customFormat="1" x14ac:dyDescent="0.35">
      <c r="A751" s="16"/>
      <c r="B751" s="16"/>
    </row>
    <row r="752" spans="1:2" s="8" customFormat="1" x14ac:dyDescent="0.35">
      <c r="A752" s="16"/>
      <c r="B752" s="16"/>
    </row>
    <row r="753" spans="1:2" s="8" customFormat="1" x14ac:dyDescent="0.35">
      <c r="A753" s="16"/>
      <c r="B753" s="16"/>
    </row>
    <row r="754" spans="1:2" s="8" customFormat="1" x14ac:dyDescent="0.35">
      <c r="A754" s="16"/>
      <c r="B754" s="16"/>
    </row>
    <row r="755" spans="1:2" s="8" customFormat="1" x14ac:dyDescent="0.35">
      <c r="A755" s="16"/>
      <c r="B755" s="16"/>
    </row>
    <row r="756" spans="1:2" s="8" customFormat="1" x14ac:dyDescent="0.35">
      <c r="A756" s="16"/>
      <c r="B756" s="16"/>
    </row>
    <row r="757" spans="1:2" s="8" customFormat="1" x14ac:dyDescent="0.35">
      <c r="A757" s="16"/>
      <c r="B757" s="16"/>
    </row>
    <row r="758" spans="1:2" s="8" customFormat="1" x14ac:dyDescent="0.35">
      <c r="A758" s="16"/>
      <c r="B758" s="16"/>
    </row>
    <row r="759" spans="1:2" s="8" customFormat="1" x14ac:dyDescent="0.35">
      <c r="A759" s="16"/>
      <c r="B759" s="16"/>
    </row>
    <row r="760" spans="1:2" s="8" customFormat="1" x14ac:dyDescent="0.35">
      <c r="A760" s="16"/>
      <c r="B760" s="16"/>
    </row>
    <row r="761" spans="1:2" s="8" customFormat="1" x14ac:dyDescent="0.35">
      <c r="A761" s="16"/>
      <c r="B761" s="16"/>
    </row>
    <row r="762" spans="1:2" s="8" customFormat="1" x14ac:dyDescent="0.35">
      <c r="A762" s="16"/>
      <c r="B762" s="16"/>
    </row>
    <row r="763" spans="1:2" s="8" customFormat="1" x14ac:dyDescent="0.35">
      <c r="A763" s="16"/>
      <c r="B763" s="16"/>
    </row>
    <row r="764" spans="1:2" s="8" customFormat="1" x14ac:dyDescent="0.35">
      <c r="A764" s="16"/>
      <c r="B764" s="16"/>
    </row>
    <row r="765" spans="1:2" s="8" customFormat="1" x14ac:dyDescent="0.35">
      <c r="A765" s="16"/>
      <c r="B765" s="16"/>
    </row>
    <row r="766" spans="1:2" s="8" customFormat="1" x14ac:dyDescent="0.35">
      <c r="A766" s="16"/>
      <c r="B766" s="16"/>
    </row>
    <row r="767" spans="1:2" s="8" customFormat="1" x14ac:dyDescent="0.35">
      <c r="A767" s="16"/>
      <c r="B767" s="16"/>
    </row>
    <row r="768" spans="1:2" s="8" customFormat="1" x14ac:dyDescent="0.35">
      <c r="A768" s="16"/>
      <c r="B768" s="16"/>
    </row>
    <row r="769" spans="1:2" s="8" customFormat="1" x14ac:dyDescent="0.35">
      <c r="A769" s="16"/>
      <c r="B769" s="16"/>
    </row>
    <row r="770" spans="1:2" s="8" customFormat="1" x14ac:dyDescent="0.35">
      <c r="A770" s="16"/>
      <c r="B770" s="16"/>
    </row>
    <row r="771" spans="1:2" s="8" customFormat="1" x14ac:dyDescent="0.35">
      <c r="A771" s="16"/>
      <c r="B771" s="16"/>
    </row>
    <row r="772" spans="1:2" s="8" customFormat="1" x14ac:dyDescent="0.35">
      <c r="A772" s="16"/>
      <c r="B772" s="16"/>
    </row>
    <row r="773" spans="1:2" s="8" customFormat="1" x14ac:dyDescent="0.35">
      <c r="A773" s="16"/>
      <c r="B773" s="16"/>
    </row>
    <row r="774" spans="1:2" s="8" customFormat="1" x14ac:dyDescent="0.35">
      <c r="A774" s="16"/>
      <c r="B774" s="16"/>
    </row>
    <row r="775" spans="1:2" s="8" customFormat="1" x14ac:dyDescent="0.35">
      <c r="A775" s="16"/>
      <c r="B775" s="16"/>
    </row>
    <row r="776" spans="1:2" s="8" customFormat="1" x14ac:dyDescent="0.35">
      <c r="A776" s="16"/>
      <c r="B776" s="16"/>
    </row>
    <row r="777" spans="1:2" s="8" customFormat="1" x14ac:dyDescent="0.35">
      <c r="A777" s="16"/>
      <c r="B777" s="16"/>
    </row>
    <row r="778" spans="1:2" s="8" customFormat="1" x14ac:dyDescent="0.35">
      <c r="A778" s="16"/>
      <c r="B778" s="16"/>
    </row>
    <row r="779" spans="1:2" s="8" customFormat="1" x14ac:dyDescent="0.35">
      <c r="A779" s="16"/>
      <c r="B779" s="16"/>
    </row>
    <row r="780" spans="1:2" s="8" customFormat="1" x14ac:dyDescent="0.35">
      <c r="A780" s="16"/>
      <c r="B780" s="16"/>
    </row>
    <row r="781" spans="1:2" s="8" customFormat="1" x14ac:dyDescent="0.35">
      <c r="A781" s="16"/>
      <c r="B781" s="16"/>
    </row>
    <row r="782" spans="1:2" s="8" customFormat="1" x14ac:dyDescent="0.35">
      <c r="A782" s="16"/>
      <c r="B782" s="16"/>
    </row>
    <row r="783" spans="1:2" s="8" customFormat="1" x14ac:dyDescent="0.35">
      <c r="A783" s="16"/>
      <c r="B783" s="16"/>
    </row>
    <row r="784" spans="1:2" s="8" customFormat="1" x14ac:dyDescent="0.35">
      <c r="A784" s="16"/>
      <c r="B784" s="16"/>
    </row>
    <row r="785" spans="1:2" s="8" customFormat="1" x14ac:dyDescent="0.35">
      <c r="A785" s="16"/>
      <c r="B785" s="16"/>
    </row>
    <row r="786" spans="1:2" s="8" customFormat="1" x14ac:dyDescent="0.35">
      <c r="A786" s="16"/>
      <c r="B786" s="16"/>
    </row>
    <row r="787" spans="1:2" s="8" customFormat="1" x14ac:dyDescent="0.35">
      <c r="A787" s="16"/>
      <c r="B787" s="16"/>
    </row>
    <row r="788" spans="1:2" s="8" customFormat="1" x14ac:dyDescent="0.35">
      <c r="A788" s="16"/>
      <c r="B788" s="16"/>
    </row>
    <row r="789" spans="1:2" s="8" customFormat="1" x14ac:dyDescent="0.35">
      <c r="A789" s="16"/>
      <c r="B789" s="16"/>
    </row>
    <row r="790" spans="1:2" s="8" customFormat="1" x14ac:dyDescent="0.35">
      <c r="A790" s="16"/>
      <c r="B790" s="16"/>
    </row>
    <row r="791" spans="1:2" s="8" customFormat="1" x14ac:dyDescent="0.35">
      <c r="A791" s="16"/>
      <c r="B791" s="16"/>
    </row>
    <row r="792" spans="1:2" s="8" customFormat="1" x14ac:dyDescent="0.35">
      <c r="A792" s="16"/>
      <c r="B792" s="16"/>
    </row>
    <row r="793" spans="1:2" s="8" customFormat="1" x14ac:dyDescent="0.35">
      <c r="A793" s="16"/>
      <c r="B793" s="16"/>
    </row>
    <row r="794" spans="1:2" s="8" customFormat="1" x14ac:dyDescent="0.35">
      <c r="A794" s="16"/>
      <c r="B794" s="16"/>
    </row>
    <row r="795" spans="1:2" s="8" customFormat="1" x14ac:dyDescent="0.35">
      <c r="A795" s="16"/>
      <c r="B795" s="16"/>
    </row>
    <row r="796" spans="1:2" s="8" customFormat="1" x14ac:dyDescent="0.35">
      <c r="A796" s="16"/>
      <c r="B796" s="16"/>
    </row>
    <row r="797" spans="1:2" s="8" customFormat="1" x14ac:dyDescent="0.35">
      <c r="A797" s="16"/>
      <c r="B797" s="16"/>
    </row>
    <row r="798" spans="1:2" s="8" customFormat="1" x14ac:dyDescent="0.35">
      <c r="A798" s="16"/>
      <c r="B798" s="16"/>
    </row>
    <row r="799" spans="1:2" s="8" customFormat="1" x14ac:dyDescent="0.35">
      <c r="A799" s="16"/>
      <c r="B799" s="16"/>
    </row>
    <row r="800" spans="1:2" s="8" customFormat="1" x14ac:dyDescent="0.35">
      <c r="A800" s="16"/>
      <c r="B800" s="16"/>
    </row>
    <row r="801" spans="1:2" s="8" customFormat="1" x14ac:dyDescent="0.35">
      <c r="A801" s="16"/>
      <c r="B801" s="16"/>
    </row>
    <row r="802" spans="1:2" s="8" customFormat="1" x14ac:dyDescent="0.35">
      <c r="A802" s="16"/>
      <c r="B802" s="16"/>
    </row>
    <row r="803" spans="1:2" s="8" customFormat="1" x14ac:dyDescent="0.35">
      <c r="A803" s="16"/>
      <c r="B803" s="16"/>
    </row>
    <row r="804" spans="1:2" s="8" customFormat="1" x14ac:dyDescent="0.35">
      <c r="A804" s="16"/>
      <c r="B804" s="16"/>
    </row>
    <row r="805" spans="1:2" s="8" customFormat="1" x14ac:dyDescent="0.35">
      <c r="A805" s="16"/>
      <c r="B805" s="16"/>
    </row>
    <row r="806" spans="1:2" s="8" customFormat="1" x14ac:dyDescent="0.35">
      <c r="A806" s="16"/>
      <c r="B806" s="16"/>
    </row>
    <row r="807" spans="1:2" s="8" customFormat="1" x14ac:dyDescent="0.35">
      <c r="A807" s="16"/>
      <c r="B807" s="16"/>
    </row>
    <row r="808" spans="1:2" s="8" customFormat="1" x14ac:dyDescent="0.35">
      <c r="A808" s="16"/>
      <c r="B808" s="16"/>
    </row>
    <row r="809" spans="1:2" s="8" customFormat="1" x14ac:dyDescent="0.35">
      <c r="A809" s="16"/>
      <c r="B809" s="16"/>
    </row>
    <row r="810" spans="1:2" s="8" customFormat="1" x14ac:dyDescent="0.35">
      <c r="A810" s="16"/>
      <c r="B810" s="16"/>
    </row>
    <row r="811" spans="1:2" s="8" customFormat="1" x14ac:dyDescent="0.35">
      <c r="A811" s="16"/>
      <c r="B811" s="16"/>
    </row>
    <row r="812" spans="1:2" s="8" customFormat="1" x14ac:dyDescent="0.35">
      <c r="A812" s="16"/>
      <c r="B812" s="16"/>
    </row>
    <row r="813" spans="1:2" s="8" customFormat="1" x14ac:dyDescent="0.35">
      <c r="A813" s="16"/>
      <c r="B813" s="16"/>
    </row>
    <row r="814" spans="1:2" s="8" customFormat="1" x14ac:dyDescent="0.35">
      <c r="A814" s="16"/>
      <c r="B814" s="16"/>
    </row>
    <row r="815" spans="1:2" s="8" customFormat="1" x14ac:dyDescent="0.35">
      <c r="A815" s="16"/>
      <c r="B815" s="16"/>
    </row>
    <row r="816" spans="1:2" s="8" customFormat="1" x14ac:dyDescent="0.35">
      <c r="A816" s="16"/>
      <c r="B816" s="16"/>
    </row>
    <row r="817" spans="1:2" s="8" customFormat="1" x14ac:dyDescent="0.35">
      <c r="A817" s="16"/>
      <c r="B817" s="16"/>
    </row>
    <row r="818" spans="1:2" s="8" customFormat="1" x14ac:dyDescent="0.35">
      <c r="A818" s="16"/>
      <c r="B818" s="16"/>
    </row>
    <row r="819" spans="1:2" s="8" customFormat="1" x14ac:dyDescent="0.35">
      <c r="A819" s="16"/>
      <c r="B819" s="16"/>
    </row>
    <row r="820" spans="1:2" s="8" customFormat="1" x14ac:dyDescent="0.35">
      <c r="A820" s="16"/>
      <c r="B820" s="16"/>
    </row>
    <row r="821" spans="1:2" s="8" customFormat="1" x14ac:dyDescent="0.35">
      <c r="A821" s="16"/>
      <c r="B821" s="16"/>
    </row>
    <row r="822" spans="1:2" s="8" customFormat="1" x14ac:dyDescent="0.35">
      <c r="A822" s="16"/>
      <c r="B822" s="16"/>
    </row>
    <row r="823" spans="1:2" s="8" customFormat="1" x14ac:dyDescent="0.35">
      <c r="A823" s="16"/>
      <c r="B823" s="16"/>
    </row>
    <row r="824" spans="1:2" s="8" customFormat="1" x14ac:dyDescent="0.35">
      <c r="A824" s="16"/>
      <c r="B824" s="16"/>
    </row>
    <row r="825" spans="1:2" s="8" customFormat="1" x14ac:dyDescent="0.35">
      <c r="A825" s="16"/>
      <c r="B825" s="16"/>
    </row>
    <row r="826" spans="1:2" s="8" customFormat="1" x14ac:dyDescent="0.35">
      <c r="A826" s="16"/>
      <c r="B826" s="16"/>
    </row>
    <row r="827" spans="1:2" s="8" customFormat="1" x14ac:dyDescent="0.35">
      <c r="A827" s="16"/>
      <c r="B827" s="16"/>
    </row>
    <row r="828" spans="1:2" s="8" customFormat="1" x14ac:dyDescent="0.35">
      <c r="A828" s="16"/>
      <c r="B828" s="16"/>
    </row>
    <row r="829" spans="1:2" s="8" customFormat="1" x14ac:dyDescent="0.35">
      <c r="A829" s="16"/>
      <c r="B829" s="16"/>
    </row>
    <row r="830" spans="1:2" s="8" customFormat="1" x14ac:dyDescent="0.35">
      <c r="A830" s="16"/>
      <c r="B830" s="16"/>
    </row>
    <row r="831" spans="1:2" s="8" customFormat="1" x14ac:dyDescent="0.35">
      <c r="A831" s="16"/>
      <c r="B831" s="16"/>
    </row>
    <row r="832" spans="1:2" s="8" customFormat="1" x14ac:dyDescent="0.35">
      <c r="A832" s="16"/>
      <c r="B832" s="16"/>
    </row>
    <row r="833" spans="1:2" s="8" customFormat="1" x14ac:dyDescent="0.35">
      <c r="A833" s="16"/>
      <c r="B833" s="16"/>
    </row>
    <row r="834" spans="1:2" s="8" customFormat="1" x14ac:dyDescent="0.35">
      <c r="A834" s="16"/>
      <c r="B834" s="16"/>
    </row>
    <row r="835" spans="1:2" s="8" customFormat="1" x14ac:dyDescent="0.35">
      <c r="A835" s="16"/>
      <c r="B835" s="16"/>
    </row>
    <row r="836" spans="1:2" s="8" customFormat="1" x14ac:dyDescent="0.35">
      <c r="A836" s="16"/>
      <c r="B836" s="16"/>
    </row>
    <row r="837" spans="1:2" s="8" customFormat="1" x14ac:dyDescent="0.35">
      <c r="A837" s="16"/>
      <c r="B837" s="16"/>
    </row>
    <row r="838" spans="1:2" s="8" customFormat="1" x14ac:dyDescent="0.35">
      <c r="A838" s="16"/>
      <c r="B838" s="16"/>
    </row>
    <row r="839" spans="1:2" s="8" customFormat="1" x14ac:dyDescent="0.35">
      <c r="A839" s="16"/>
      <c r="B839" s="16"/>
    </row>
    <row r="840" spans="1:2" s="8" customFormat="1" x14ac:dyDescent="0.35">
      <c r="A840" s="16"/>
      <c r="B840" s="16"/>
    </row>
    <row r="841" spans="1:2" s="8" customFormat="1" x14ac:dyDescent="0.35">
      <c r="A841" s="16"/>
      <c r="B841" s="16"/>
    </row>
    <row r="842" spans="1:2" s="8" customFormat="1" x14ac:dyDescent="0.35">
      <c r="A842" s="16"/>
      <c r="B842" s="16"/>
    </row>
    <row r="843" spans="1:2" s="8" customFormat="1" x14ac:dyDescent="0.35">
      <c r="A843" s="16"/>
      <c r="B843" s="16"/>
    </row>
    <row r="844" spans="1:2" s="8" customFormat="1" x14ac:dyDescent="0.35">
      <c r="A844" s="16"/>
      <c r="B844" s="16"/>
    </row>
    <row r="845" spans="1:2" s="8" customFormat="1" x14ac:dyDescent="0.35">
      <c r="A845" s="16"/>
      <c r="B845" s="16"/>
    </row>
    <row r="846" spans="1:2" s="8" customFormat="1" x14ac:dyDescent="0.35">
      <c r="A846" s="16"/>
      <c r="B846" s="16"/>
    </row>
    <row r="847" spans="1:2" s="8" customFormat="1" x14ac:dyDescent="0.35">
      <c r="A847" s="16"/>
      <c r="B847" s="16"/>
    </row>
    <row r="848" spans="1:2" s="8" customFormat="1" x14ac:dyDescent="0.35">
      <c r="A848" s="16"/>
      <c r="B848" s="16"/>
    </row>
    <row r="849" spans="1:2" s="8" customFormat="1" x14ac:dyDescent="0.35">
      <c r="A849" s="16"/>
      <c r="B849" s="16"/>
    </row>
    <row r="850" spans="1:2" s="8" customFormat="1" x14ac:dyDescent="0.35">
      <c r="A850" s="16"/>
      <c r="B850" s="16"/>
    </row>
    <row r="851" spans="1:2" s="8" customFormat="1" x14ac:dyDescent="0.35">
      <c r="A851" s="16"/>
      <c r="B851" s="16"/>
    </row>
    <row r="852" spans="1:2" s="8" customFormat="1" x14ac:dyDescent="0.35">
      <c r="A852" s="16"/>
      <c r="B852" s="16"/>
    </row>
    <row r="853" spans="1:2" s="8" customFormat="1" x14ac:dyDescent="0.35">
      <c r="A853" s="16"/>
      <c r="B853" s="16"/>
    </row>
    <row r="854" spans="1:2" s="8" customFormat="1" x14ac:dyDescent="0.35">
      <c r="A854" s="16"/>
      <c r="B854" s="16"/>
    </row>
    <row r="855" spans="1:2" s="8" customFormat="1" x14ac:dyDescent="0.35">
      <c r="A855" s="16"/>
      <c r="B855" s="16"/>
    </row>
    <row r="856" spans="1:2" s="8" customFormat="1" x14ac:dyDescent="0.35">
      <c r="A856" s="16"/>
      <c r="B856" s="16"/>
    </row>
    <row r="857" spans="1:2" s="8" customFormat="1" x14ac:dyDescent="0.35">
      <c r="A857" s="16"/>
      <c r="B857" s="16"/>
    </row>
    <row r="858" spans="1:2" s="8" customFormat="1" x14ac:dyDescent="0.35">
      <c r="A858" s="16"/>
      <c r="B858" s="16"/>
    </row>
    <row r="859" spans="1:2" s="8" customFormat="1" x14ac:dyDescent="0.35">
      <c r="A859" s="16"/>
      <c r="B859" s="16"/>
    </row>
    <row r="860" spans="1:2" s="8" customFormat="1" x14ac:dyDescent="0.35">
      <c r="A860" s="16"/>
      <c r="B860" s="16"/>
    </row>
    <row r="861" spans="1:2" s="8" customFormat="1" x14ac:dyDescent="0.35">
      <c r="A861" s="16"/>
      <c r="B861" s="16"/>
    </row>
    <row r="862" spans="1:2" s="8" customFormat="1" x14ac:dyDescent="0.35">
      <c r="A862" s="16"/>
      <c r="B862" s="16"/>
    </row>
    <row r="863" spans="1:2" s="8" customFormat="1" x14ac:dyDescent="0.35">
      <c r="A863" s="16"/>
      <c r="B863" s="16"/>
    </row>
    <row r="864" spans="1:2" s="8" customFormat="1" x14ac:dyDescent="0.35">
      <c r="A864" s="16"/>
      <c r="B864" s="16"/>
    </row>
    <row r="865" spans="1:2" s="8" customFormat="1" x14ac:dyDescent="0.35">
      <c r="A865" s="16"/>
      <c r="B865" s="16"/>
    </row>
    <row r="866" spans="1:2" s="8" customFormat="1" x14ac:dyDescent="0.35">
      <c r="A866" s="16"/>
      <c r="B866" s="16"/>
    </row>
    <row r="867" spans="1:2" s="8" customFormat="1" x14ac:dyDescent="0.35">
      <c r="A867" s="16"/>
      <c r="B867" s="16"/>
    </row>
    <row r="868" spans="1:2" s="8" customFormat="1" x14ac:dyDescent="0.35">
      <c r="A868" s="16"/>
      <c r="B868" s="16"/>
    </row>
    <row r="869" spans="1:2" s="8" customFormat="1" x14ac:dyDescent="0.35">
      <c r="A869" s="16"/>
      <c r="B869" s="16"/>
    </row>
    <row r="870" spans="1:2" s="8" customFormat="1" x14ac:dyDescent="0.35">
      <c r="A870" s="16"/>
      <c r="B870" s="16"/>
    </row>
    <row r="871" spans="1:2" s="8" customFormat="1" x14ac:dyDescent="0.35">
      <c r="A871" s="16"/>
      <c r="B871" s="16"/>
    </row>
    <row r="872" spans="1:2" s="8" customFormat="1" x14ac:dyDescent="0.35">
      <c r="A872" s="16"/>
      <c r="B872" s="16"/>
    </row>
    <row r="873" spans="1:2" s="8" customFormat="1" x14ac:dyDescent="0.35">
      <c r="A873" s="16"/>
      <c r="B873" s="16"/>
    </row>
    <row r="874" spans="1:2" s="8" customFormat="1" x14ac:dyDescent="0.35">
      <c r="A874" s="16"/>
      <c r="B874" s="16"/>
    </row>
    <row r="875" spans="1:2" s="8" customFormat="1" x14ac:dyDescent="0.35">
      <c r="A875" s="16"/>
      <c r="B875" s="16"/>
    </row>
    <row r="876" spans="1:2" s="8" customFormat="1" x14ac:dyDescent="0.35">
      <c r="A876" s="16"/>
      <c r="B876" s="16"/>
    </row>
    <row r="877" spans="1:2" s="8" customFormat="1" x14ac:dyDescent="0.35">
      <c r="A877" s="16"/>
      <c r="B877" s="16"/>
    </row>
    <row r="878" spans="1:2" s="8" customFormat="1" x14ac:dyDescent="0.35">
      <c r="A878" s="16"/>
      <c r="B878" s="16"/>
    </row>
    <row r="879" spans="1:2" s="8" customFormat="1" x14ac:dyDescent="0.35">
      <c r="A879" s="16"/>
      <c r="B879" s="16"/>
    </row>
    <row r="880" spans="1:2" s="8" customFormat="1" x14ac:dyDescent="0.35">
      <c r="A880" s="16"/>
      <c r="B880" s="16"/>
    </row>
    <row r="881" spans="1:2" s="8" customFormat="1" x14ac:dyDescent="0.35">
      <c r="A881" s="16"/>
      <c r="B881" s="16"/>
    </row>
    <row r="882" spans="1:2" s="8" customFormat="1" x14ac:dyDescent="0.35">
      <c r="A882" s="16"/>
      <c r="B882" s="16"/>
    </row>
    <row r="883" spans="1:2" s="8" customFormat="1" x14ac:dyDescent="0.35">
      <c r="A883" s="16"/>
      <c r="B883" s="16"/>
    </row>
    <row r="884" spans="1:2" s="8" customFormat="1" x14ac:dyDescent="0.35">
      <c r="A884" s="16"/>
      <c r="B884" s="16"/>
    </row>
    <row r="885" spans="1:2" s="8" customFormat="1" x14ac:dyDescent="0.35">
      <c r="A885" s="16"/>
      <c r="B885" s="16"/>
    </row>
    <row r="886" spans="1:2" s="8" customFormat="1" x14ac:dyDescent="0.35">
      <c r="A886" s="16"/>
      <c r="B886" s="16"/>
    </row>
    <row r="887" spans="1:2" s="8" customFormat="1" x14ac:dyDescent="0.35">
      <c r="A887" s="16"/>
      <c r="B887" s="16"/>
    </row>
    <row r="888" spans="1:2" s="8" customFormat="1" x14ac:dyDescent="0.35">
      <c r="A888" s="16"/>
      <c r="B888" s="16"/>
    </row>
    <row r="889" spans="1:2" s="8" customFormat="1" x14ac:dyDescent="0.35">
      <c r="A889" s="16"/>
      <c r="B889" s="16"/>
    </row>
    <row r="890" spans="1:2" s="8" customFormat="1" x14ac:dyDescent="0.35">
      <c r="A890" s="16"/>
      <c r="B890" s="16"/>
    </row>
    <row r="891" spans="1:2" s="8" customFormat="1" x14ac:dyDescent="0.35">
      <c r="A891" s="16"/>
      <c r="B891" s="16"/>
    </row>
    <row r="892" spans="1:2" s="8" customFormat="1" x14ac:dyDescent="0.35">
      <c r="A892" s="16"/>
      <c r="B892" s="16"/>
    </row>
    <row r="893" spans="1:2" s="8" customFormat="1" x14ac:dyDescent="0.35">
      <c r="A893" s="16"/>
      <c r="B893" s="16"/>
    </row>
    <row r="894" spans="1:2" s="8" customFormat="1" x14ac:dyDescent="0.35">
      <c r="A894" s="16"/>
      <c r="B894" s="16"/>
    </row>
    <row r="895" spans="1:2" s="8" customFormat="1" x14ac:dyDescent="0.35">
      <c r="A895" s="16"/>
      <c r="B895" s="16"/>
    </row>
    <row r="896" spans="1:2" s="8" customFormat="1" x14ac:dyDescent="0.35">
      <c r="A896" s="16"/>
      <c r="B896" s="16"/>
    </row>
    <row r="897" spans="1:2" s="8" customFormat="1" x14ac:dyDescent="0.35">
      <c r="A897" s="16"/>
      <c r="B897" s="16"/>
    </row>
    <row r="898" spans="1:2" s="8" customFormat="1" x14ac:dyDescent="0.35">
      <c r="A898" s="16"/>
      <c r="B898" s="16"/>
    </row>
    <row r="899" spans="1:2" s="8" customFormat="1" x14ac:dyDescent="0.35">
      <c r="A899" s="16"/>
      <c r="B899" s="16"/>
    </row>
    <row r="900" spans="1:2" s="8" customFormat="1" x14ac:dyDescent="0.35">
      <c r="A900" s="16"/>
      <c r="B900" s="16"/>
    </row>
    <row r="901" spans="1:2" s="8" customFormat="1" x14ac:dyDescent="0.35">
      <c r="A901" s="16"/>
      <c r="B901" s="16"/>
    </row>
    <row r="902" spans="1:2" s="8" customFormat="1" x14ac:dyDescent="0.35">
      <c r="A902" s="16"/>
      <c r="B902" s="16"/>
    </row>
    <row r="903" spans="1:2" s="8" customFormat="1" x14ac:dyDescent="0.35">
      <c r="A903" s="16"/>
      <c r="B903" s="16"/>
    </row>
    <row r="904" spans="1:2" s="8" customFormat="1" x14ac:dyDescent="0.35">
      <c r="A904" s="16"/>
      <c r="B904" s="16"/>
    </row>
    <row r="905" spans="1:2" s="8" customFormat="1" x14ac:dyDescent="0.35">
      <c r="A905" s="16"/>
      <c r="B905" s="16"/>
    </row>
  </sheetData>
  <protectedRanges>
    <protectedRange algorithmName="SHA-512" hashValue="HUuBmNDPSjNlFw52n9X2PHHp3VXButXxHKw1bpxoayQFEtE2kNfa3LKySLkizAAUASV+ujV6Z5vzKSbIu7Ujhg==" saltValue="2mRtxkJw2awIrqFkT1eRRQ==" spinCount="100000" sqref="E6:E10 E12:E18" name="Range1"/>
  </protectedRanges>
  <mergeCells count="8">
    <mergeCell ref="K25:K29"/>
    <mergeCell ref="D3:I3"/>
    <mergeCell ref="E43:G43"/>
    <mergeCell ref="H43:I43"/>
    <mergeCell ref="G18:I19"/>
    <mergeCell ref="D20:E29"/>
    <mergeCell ref="G20:I20"/>
    <mergeCell ref="G38:I38"/>
  </mergeCells>
  <dataValidations count="1">
    <dataValidation type="decimal" allowBlank="1" showInputMessage="1" showErrorMessage="1" sqref="E6 E8 E10">
      <formula1>A6</formula1>
      <formula2>B6</formula2>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22"/>
  <sheetViews>
    <sheetView tabSelected="1" topLeftCell="E1" zoomScaleNormal="100" workbookViewId="0">
      <selection activeCell="AD4" sqref="AD4"/>
    </sheetView>
  </sheetViews>
  <sheetFormatPr defaultRowHeight="14.5" x14ac:dyDescent="0.35"/>
  <cols>
    <col min="1" max="1" width="4.54296875" hidden="1" customWidth="1"/>
    <col min="2" max="4" width="4.453125" hidden="1" customWidth="1"/>
    <col min="5" max="5" width="9.453125" customWidth="1"/>
    <col min="6" max="6" width="17.81640625" hidden="1" customWidth="1"/>
    <col min="7" max="7" width="26.81640625" customWidth="1"/>
    <col min="8" max="8" width="14.54296875" customWidth="1"/>
    <col min="9" max="9" width="12.7265625" customWidth="1"/>
    <col min="10" max="10" width="3.453125" customWidth="1"/>
    <col min="11" max="11" width="31.54296875" style="16" customWidth="1"/>
    <col min="12" max="12" width="9.36328125" customWidth="1"/>
    <col min="13" max="13" width="18" customWidth="1"/>
    <col min="14" max="14" width="12.1796875" customWidth="1"/>
    <col min="15" max="15" width="8" customWidth="1"/>
    <col min="16" max="27" width="12.7265625" hidden="1" customWidth="1"/>
    <col min="28" max="28" width="12.7265625" customWidth="1"/>
    <col min="29" max="31" width="9.1796875" customWidth="1"/>
    <col min="32" max="36" width="9.1796875" style="8" customWidth="1"/>
    <col min="37" max="55" width="8.7265625" style="8"/>
  </cols>
  <sheetData>
    <row r="1" spans="1:42" ht="148" customHeight="1" x14ac:dyDescent="0.45">
      <c r="A1" s="8"/>
      <c r="B1" s="8"/>
      <c r="C1" s="8"/>
      <c r="D1" s="8"/>
      <c r="E1" s="8"/>
      <c r="F1" s="232"/>
      <c r="G1" s="483" t="s">
        <v>371</v>
      </c>
      <c r="H1" s="483"/>
      <c r="I1" s="483"/>
      <c r="J1" s="483"/>
      <c r="K1" s="483"/>
      <c r="L1" s="483"/>
      <c r="M1" s="483"/>
      <c r="N1" s="483"/>
      <c r="O1" s="483"/>
      <c r="P1" s="24"/>
      <c r="Q1" s="24"/>
      <c r="R1" s="24"/>
      <c r="S1" s="24"/>
      <c r="T1" s="24"/>
      <c r="U1" s="24"/>
      <c r="V1" s="24"/>
      <c r="W1" s="24"/>
      <c r="X1" s="24"/>
      <c r="Y1" s="24"/>
      <c r="Z1" s="24"/>
      <c r="AA1" s="24"/>
      <c r="AB1" s="8"/>
      <c r="AC1" s="16"/>
      <c r="AD1" s="16"/>
      <c r="AE1" s="16"/>
      <c r="AF1" s="16"/>
      <c r="AG1" s="16"/>
      <c r="AH1" s="16"/>
      <c r="AI1" s="16"/>
      <c r="AJ1" s="16"/>
      <c r="AK1" s="16"/>
      <c r="AL1" s="16"/>
      <c r="AM1" s="16"/>
      <c r="AN1" s="16"/>
      <c r="AO1" s="16"/>
      <c r="AP1" s="16"/>
    </row>
    <row r="2" spans="1:42" ht="0.65" hidden="1" customHeight="1" x14ac:dyDescent="0.35">
      <c r="A2" s="8"/>
      <c r="B2" s="8"/>
      <c r="C2" s="8"/>
      <c r="D2" s="8"/>
      <c r="E2" s="8"/>
      <c r="F2" s="8"/>
      <c r="G2" s="8"/>
      <c r="H2" s="8"/>
      <c r="I2" s="8"/>
      <c r="J2" s="8"/>
      <c r="K2" s="8"/>
      <c r="L2" s="8"/>
      <c r="M2" s="8"/>
      <c r="N2" s="15"/>
      <c r="O2" s="15"/>
      <c r="P2" s="15"/>
      <c r="Q2" s="15"/>
      <c r="R2" s="15"/>
      <c r="S2" s="15"/>
      <c r="T2" s="15"/>
      <c r="U2" s="15"/>
      <c r="V2" s="15"/>
      <c r="W2" s="15"/>
      <c r="X2" s="15"/>
      <c r="Y2" s="15"/>
      <c r="Z2" s="15"/>
      <c r="AA2" s="15"/>
      <c r="AB2" s="8"/>
      <c r="AC2" s="16"/>
      <c r="AD2" s="16"/>
      <c r="AE2" s="16"/>
      <c r="AF2" s="16"/>
      <c r="AG2" s="16"/>
      <c r="AH2" s="16"/>
      <c r="AI2" s="16"/>
      <c r="AJ2" s="16"/>
      <c r="AK2" s="16"/>
      <c r="AL2" s="16"/>
      <c r="AM2" s="16"/>
      <c r="AN2" s="16"/>
      <c r="AO2" s="16"/>
      <c r="AP2" s="16"/>
    </row>
    <row r="3" spans="1:42" x14ac:dyDescent="0.35">
      <c r="A3" s="8" t="s">
        <v>114</v>
      </c>
      <c r="B3" s="8"/>
      <c r="C3" s="8"/>
      <c r="D3" s="8"/>
      <c r="E3" s="8"/>
      <c r="F3" s="8"/>
      <c r="G3" s="8"/>
      <c r="H3" s="8"/>
      <c r="I3" s="8"/>
      <c r="J3" s="8"/>
      <c r="K3" s="8"/>
      <c r="L3" s="8"/>
      <c r="M3" s="8"/>
      <c r="N3" s="15"/>
      <c r="O3" s="15"/>
      <c r="P3" s="15"/>
      <c r="Q3" s="15"/>
      <c r="R3" s="15"/>
      <c r="S3" s="15"/>
      <c r="T3" s="15"/>
      <c r="U3" s="15"/>
      <c r="V3" s="15"/>
      <c r="W3" s="15"/>
      <c r="X3" s="15"/>
      <c r="Y3" s="15"/>
      <c r="Z3" s="15"/>
      <c r="AA3" s="15"/>
      <c r="AB3" s="8"/>
      <c r="AC3" s="16"/>
      <c r="AD3" s="16"/>
      <c r="AE3" s="16"/>
      <c r="AF3" s="16"/>
      <c r="AG3" s="16"/>
      <c r="AH3" s="16"/>
      <c r="AI3" s="16"/>
      <c r="AJ3" s="16"/>
      <c r="AK3" s="16"/>
      <c r="AL3" s="16"/>
      <c r="AM3" s="16"/>
      <c r="AN3" s="16"/>
      <c r="AO3" s="16"/>
      <c r="AP3" s="16"/>
    </row>
    <row r="4" spans="1:42" ht="38.15" customHeight="1" x14ac:dyDescent="0.35">
      <c r="A4" s="8" t="s">
        <v>119</v>
      </c>
      <c r="B4" s="8"/>
      <c r="C4" s="8"/>
      <c r="D4" s="8"/>
      <c r="E4" s="8"/>
      <c r="F4" s="8"/>
      <c r="G4" s="8"/>
      <c r="H4" s="8"/>
      <c r="I4" s="8"/>
      <c r="J4" s="8"/>
      <c r="K4" s="8"/>
      <c r="L4" s="8"/>
      <c r="M4" s="8"/>
      <c r="N4" s="15"/>
      <c r="O4" s="15"/>
      <c r="P4" s="15"/>
      <c r="Q4" s="15"/>
      <c r="R4" s="15"/>
      <c r="S4" s="15"/>
      <c r="T4" s="15"/>
      <c r="U4" s="15"/>
      <c r="V4" s="15"/>
      <c r="W4" s="15"/>
      <c r="X4" s="15"/>
      <c r="Y4" s="15"/>
      <c r="Z4" s="15"/>
      <c r="AA4" s="15"/>
      <c r="AB4" s="8"/>
      <c r="AC4" s="16"/>
      <c r="AD4" s="16"/>
      <c r="AE4" s="16"/>
      <c r="AF4" s="16"/>
      <c r="AG4" s="16"/>
      <c r="AH4" s="16"/>
      <c r="AI4" s="16"/>
      <c r="AJ4" s="16"/>
      <c r="AK4" s="16"/>
      <c r="AL4" s="16"/>
      <c r="AM4" s="16"/>
      <c r="AN4" s="16"/>
      <c r="AO4" s="16"/>
      <c r="AP4" s="16"/>
    </row>
    <row r="5" spans="1:42" ht="30.65" customHeight="1" x14ac:dyDescent="0.75">
      <c r="A5" s="8">
        <v>0.17099863201094392</v>
      </c>
      <c r="B5" s="8">
        <v>7.5239398084815328</v>
      </c>
      <c r="C5" s="8" t="s">
        <v>121</v>
      </c>
      <c r="D5" s="8"/>
      <c r="E5" s="8"/>
      <c r="F5" s="8"/>
      <c r="G5" s="28" t="s">
        <v>278</v>
      </c>
      <c r="H5" s="8"/>
      <c r="I5" s="8"/>
      <c r="J5" s="8"/>
      <c r="K5" s="8"/>
      <c r="L5" s="8"/>
      <c r="M5" s="8"/>
      <c r="N5" s="15"/>
      <c r="O5" s="15"/>
      <c r="P5" s="15"/>
      <c r="Q5" s="15"/>
      <c r="R5" s="15"/>
      <c r="S5" s="15"/>
      <c r="T5" s="15"/>
      <c r="U5" s="15"/>
      <c r="V5" s="15"/>
      <c r="W5" s="15"/>
      <c r="X5" s="15"/>
      <c r="Y5" s="15"/>
      <c r="Z5" s="15"/>
      <c r="AA5" s="15"/>
      <c r="AB5" s="8"/>
      <c r="AC5" s="16"/>
      <c r="AD5" s="16"/>
      <c r="AE5" s="16"/>
      <c r="AF5" s="16"/>
      <c r="AG5" s="16"/>
      <c r="AH5" s="16"/>
      <c r="AI5" s="16"/>
      <c r="AJ5" s="16"/>
      <c r="AK5" s="16"/>
      <c r="AL5" s="16"/>
      <c r="AM5" s="16"/>
      <c r="AN5" s="16"/>
      <c r="AO5" s="16"/>
      <c r="AP5" s="16"/>
    </row>
    <row r="6" spans="1:42" x14ac:dyDescent="0.35">
      <c r="A6" s="8">
        <v>0.14500683994528046</v>
      </c>
      <c r="B6" s="8">
        <v>6.3803009575923406</v>
      </c>
      <c r="C6" s="8" t="s">
        <v>123</v>
      </c>
      <c r="D6" s="8"/>
      <c r="E6" s="8"/>
      <c r="F6" s="8"/>
      <c r="G6" s="8"/>
      <c r="H6" s="8"/>
      <c r="I6" s="8"/>
      <c r="J6" s="8"/>
      <c r="K6" s="8"/>
      <c r="L6" s="8"/>
      <c r="M6" s="8"/>
      <c r="N6" s="15"/>
      <c r="O6" s="15"/>
      <c r="P6" s="15"/>
      <c r="Q6" s="15"/>
      <c r="R6" s="15"/>
      <c r="S6" s="15"/>
      <c r="T6" s="15"/>
      <c r="U6" s="15"/>
      <c r="V6" s="15"/>
      <c r="W6" s="15"/>
      <c r="X6" s="15"/>
      <c r="Y6" s="15"/>
      <c r="Z6" s="15"/>
      <c r="AA6" s="15"/>
      <c r="AB6" s="8"/>
      <c r="AC6" s="16"/>
      <c r="AD6" s="16"/>
      <c r="AE6" s="16"/>
      <c r="AF6" s="16"/>
      <c r="AG6" s="16"/>
      <c r="AH6" s="16"/>
      <c r="AI6" s="16"/>
      <c r="AJ6" s="16"/>
      <c r="AK6" s="16"/>
      <c r="AL6" s="16"/>
      <c r="AM6" s="16"/>
      <c r="AN6" s="16"/>
      <c r="AO6" s="16"/>
      <c r="AP6" s="16"/>
    </row>
    <row r="7" spans="1:42" ht="23.5" x14ac:dyDescent="0.55000000000000004">
      <c r="A7" s="8"/>
      <c r="B7" s="8"/>
      <c r="C7" s="8"/>
      <c r="D7" s="8"/>
      <c r="E7" s="8"/>
      <c r="F7" s="8"/>
      <c r="G7" s="296" t="s">
        <v>25</v>
      </c>
      <c r="H7" s="297"/>
      <c r="I7" s="8"/>
      <c r="J7" s="8"/>
      <c r="K7" s="296" t="s">
        <v>109</v>
      </c>
      <c r="L7" s="8"/>
      <c r="M7" s="8"/>
      <c r="N7" s="15"/>
      <c r="O7" s="15"/>
      <c r="P7" s="15"/>
      <c r="Q7" s="15"/>
      <c r="R7" s="15"/>
      <c r="S7" s="15"/>
      <c r="T7" s="15"/>
      <c r="U7" s="15"/>
      <c r="V7" s="15"/>
      <c r="W7" s="15"/>
      <c r="X7" s="15"/>
      <c r="Y7" s="15"/>
      <c r="Z7" s="15"/>
      <c r="AA7" s="15"/>
      <c r="AB7" s="8"/>
      <c r="AC7" s="16"/>
      <c r="AD7" s="16"/>
      <c r="AE7" s="16"/>
      <c r="AF7" s="16"/>
      <c r="AG7" s="16"/>
      <c r="AH7" s="16"/>
      <c r="AI7" s="16"/>
      <c r="AJ7" s="16"/>
      <c r="AK7" s="16"/>
      <c r="AL7" s="16"/>
      <c r="AM7" s="16"/>
      <c r="AN7" s="16"/>
      <c r="AO7" s="16"/>
      <c r="AP7" s="16"/>
    </row>
    <row r="8" spans="1:42" ht="23.15" customHeight="1" x14ac:dyDescent="0.35">
      <c r="A8" s="8"/>
      <c r="B8" s="8"/>
      <c r="C8" s="8"/>
      <c r="D8" s="8"/>
      <c r="E8" s="8"/>
      <c r="F8" s="294"/>
      <c r="G8" s="8"/>
      <c r="H8" s="8"/>
      <c r="I8" s="8"/>
      <c r="J8" s="8"/>
      <c r="K8" s="8"/>
      <c r="L8" s="8"/>
      <c r="M8" s="8"/>
      <c r="N8" s="8"/>
      <c r="O8" s="8"/>
      <c r="P8" s="15"/>
      <c r="Q8" s="15"/>
      <c r="R8" s="15"/>
      <c r="S8" s="15"/>
      <c r="T8" s="15"/>
      <c r="U8" s="15"/>
      <c r="V8" s="15"/>
      <c r="W8" s="15"/>
      <c r="X8" s="15"/>
      <c r="Y8" s="15"/>
      <c r="Z8" s="15"/>
      <c r="AA8" s="15"/>
      <c r="AB8" s="8"/>
      <c r="AC8" s="16"/>
      <c r="AD8" s="16"/>
      <c r="AE8" s="16"/>
      <c r="AF8" s="16"/>
      <c r="AG8" s="16"/>
      <c r="AH8" s="16"/>
      <c r="AI8" s="16"/>
      <c r="AJ8" s="16"/>
      <c r="AK8" s="16"/>
      <c r="AL8" s="16"/>
      <c r="AM8" s="16"/>
      <c r="AN8" s="16"/>
      <c r="AO8" s="16"/>
      <c r="AP8" s="16"/>
    </row>
    <row r="9" spans="1:42" ht="23.15" customHeight="1" x14ac:dyDescent="0.35">
      <c r="A9" s="8"/>
      <c r="B9" s="8"/>
      <c r="C9" s="8">
        <v>0</v>
      </c>
      <c r="D9" s="8">
        <v>6</v>
      </c>
      <c r="E9" s="8"/>
      <c r="F9" s="294"/>
      <c r="G9" s="506" t="s">
        <v>26</v>
      </c>
      <c r="H9" s="298">
        <f>(H13*6.89622641509434)/10</f>
        <v>0.19999056603773585</v>
      </c>
      <c r="I9" s="46"/>
      <c r="J9" s="300"/>
      <c r="K9" s="299" t="s">
        <v>275</v>
      </c>
      <c r="L9" s="300"/>
      <c r="M9" s="301"/>
      <c r="N9" s="293"/>
      <c r="O9" s="301"/>
      <c r="P9" s="233"/>
      <c r="Q9" s="233"/>
      <c r="R9" s="233"/>
      <c r="S9" s="233"/>
      <c r="T9" s="233"/>
      <c r="U9" s="233"/>
      <c r="V9" s="233"/>
      <c r="W9" s="233"/>
      <c r="X9" s="233"/>
      <c r="Y9" s="233"/>
      <c r="Z9" s="233"/>
      <c r="AA9" s="233"/>
      <c r="AB9" s="8"/>
      <c r="AC9" s="509" t="s">
        <v>279</v>
      </c>
      <c r="AD9" s="16"/>
      <c r="AE9" s="16"/>
      <c r="AF9" s="16"/>
      <c r="AG9" s="16"/>
      <c r="AH9" s="16"/>
      <c r="AI9" s="16"/>
      <c r="AJ9" s="16"/>
      <c r="AK9" s="16"/>
      <c r="AL9" s="16"/>
      <c r="AM9" s="16"/>
      <c r="AN9" s="16"/>
      <c r="AO9" s="16"/>
      <c r="AP9" s="16"/>
    </row>
    <row r="10" spans="1:42" ht="23.15" customHeight="1" x14ac:dyDescent="0.35">
      <c r="A10" s="8"/>
      <c r="B10" s="8"/>
      <c r="C10" s="8"/>
      <c r="D10" s="8"/>
      <c r="E10" s="8"/>
      <c r="F10" s="294"/>
      <c r="G10" s="302"/>
      <c r="H10" s="303"/>
      <c r="I10" s="8"/>
      <c r="J10" s="119"/>
      <c r="K10" s="304" t="s">
        <v>382</v>
      </c>
      <c r="L10" s="293"/>
      <c r="M10" s="293"/>
      <c r="N10" s="293"/>
      <c r="O10" s="293"/>
      <c r="P10" s="15"/>
      <c r="Q10" s="15"/>
      <c r="R10" s="15"/>
      <c r="S10" s="15"/>
      <c r="T10" s="15"/>
      <c r="U10" s="15"/>
      <c r="V10" s="15"/>
      <c r="W10" s="15"/>
      <c r="X10" s="15"/>
      <c r="Y10" s="15"/>
      <c r="Z10" s="15"/>
      <c r="AA10" s="15"/>
      <c r="AB10" s="8"/>
      <c r="AC10" s="510">
        <f>(-0.8*L25*0.0037*EXP(0.066*H23))</f>
        <v>-0.31564932530730211</v>
      </c>
      <c r="AD10" s="16"/>
      <c r="AE10" s="511" t="s">
        <v>280</v>
      </c>
      <c r="AF10" s="16"/>
      <c r="AG10" s="16"/>
      <c r="AH10" s="16"/>
      <c r="AI10" s="16"/>
      <c r="AJ10" s="16"/>
      <c r="AK10" s="16"/>
      <c r="AL10" s="16"/>
      <c r="AM10" s="16"/>
      <c r="AN10" s="16"/>
      <c r="AO10" s="16"/>
      <c r="AP10" s="16"/>
    </row>
    <row r="11" spans="1:42" ht="23.15" customHeight="1" x14ac:dyDescent="0.35">
      <c r="A11" s="8"/>
      <c r="B11" s="8"/>
      <c r="C11" s="8">
        <v>0</v>
      </c>
      <c r="D11" s="8">
        <v>10</v>
      </c>
      <c r="E11" s="8"/>
      <c r="F11" s="294"/>
      <c r="G11" s="507" t="s">
        <v>252</v>
      </c>
      <c r="H11" s="298">
        <f>H13*1.17924528301887</f>
        <v>0.34198113207547226</v>
      </c>
      <c r="I11" s="46"/>
      <c r="J11" s="300"/>
      <c r="K11" s="415">
        <f>(25-H23)+(-5/(-0.8*L25*0.0037*EXP(0.066*H23)))</f>
        <v>25.840363337169258</v>
      </c>
      <c r="L11" s="299" t="s">
        <v>383</v>
      </c>
      <c r="M11" s="300"/>
      <c r="N11" s="300"/>
      <c r="O11" s="300"/>
      <c r="P11" s="46"/>
      <c r="Q11" s="46"/>
      <c r="R11" s="46"/>
      <c r="S11" s="46"/>
      <c r="T11" s="46"/>
      <c r="U11" s="46"/>
      <c r="V11" s="46"/>
      <c r="W11" s="46"/>
      <c r="X11" s="46"/>
      <c r="Y11" s="46"/>
      <c r="Z11" s="46"/>
      <c r="AA11" s="46"/>
      <c r="AB11" s="8"/>
      <c r="AC11" s="16"/>
      <c r="AD11" s="16"/>
      <c r="AE11" s="16"/>
      <c r="AF11" s="16"/>
      <c r="AG11" s="16"/>
      <c r="AH11" s="16"/>
      <c r="AI11" s="16"/>
      <c r="AJ11" s="16"/>
      <c r="AK11" s="16"/>
      <c r="AL11" s="16"/>
      <c r="AM11" s="16"/>
      <c r="AN11" s="16"/>
      <c r="AO11" s="16"/>
      <c r="AP11" s="16"/>
    </row>
    <row r="12" spans="1:42" ht="23.15" customHeight="1" x14ac:dyDescent="0.35">
      <c r="A12" s="8"/>
      <c r="B12" s="8"/>
      <c r="C12" s="8"/>
      <c r="D12" s="8"/>
      <c r="E12" s="8"/>
      <c r="F12" s="294"/>
      <c r="G12" s="426"/>
      <c r="H12" s="306"/>
      <c r="I12" s="8"/>
      <c r="J12" s="119"/>
      <c r="K12" s="484" t="s">
        <v>343</v>
      </c>
      <c r="L12" s="119"/>
      <c r="M12" s="119"/>
      <c r="N12" s="119"/>
      <c r="O12" s="119"/>
      <c r="P12" s="8"/>
      <c r="Q12" s="8"/>
      <c r="R12" s="8"/>
      <c r="S12" s="8"/>
      <c r="T12" s="8"/>
      <c r="U12" s="8"/>
      <c r="V12" s="8"/>
      <c r="W12" s="8"/>
      <c r="X12" s="8"/>
      <c r="Y12" s="8"/>
      <c r="Z12" s="8"/>
      <c r="AA12" s="8"/>
      <c r="AB12" s="8"/>
      <c r="AC12" s="16">
        <v>0</v>
      </c>
      <c r="AD12" s="16">
        <v>5</v>
      </c>
      <c r="AE12" s="16"/>
      <c r="AF12" s="16"/>
      <c r="AG12" s="16"/>
      <c r="AH12" s="16"/>
      <c r="AI12" s="16"/>
      <c r="AJ12" s="16"/>
      <c r="AK12" s="16"/>
      <c r="AL12" s="16"/>
      <c r="AM12" s="16"/>
      <c r="AN12" s="16"/>
      <c r="AO12" s="16"/>
      <c r="AP12" s="16"/>
    </row>
    <row r="13" spans="1:42" ht="23.15" customHeight="1" x14ac:dyDescent="0.35">
      <c r="A13" s="8"/>
      <c r="B13" s="8"/>
      <c r="C13" s="8">
        <v>0</v>
      </c>
      <c r="D13" s="8">
        <v>10</v>
      </c>
      <c r="E13" s="8"/>
      <c r="F13" s="307"/>
      <c r="G13" s="507" t="s">
        <v>274</v>
      </c>
      <c r="H13" s="298">
        <v>0.28999999999999998</v>
      </c>
      <c r="I13" s="308"/>
      <c r="J13" s="508"/>
      <c r="K13" s="484"/>
      <c r="L13" s="300"/>
      <c r="M13" s="300"/>
      <c r="N13" s="300"/>
      <c r="O13" s="300"/>
      <c r="P13" s="46"/>
      <c r="Q13" s="46"/>
      <c r="R13" s="46"/>
      <c r="S13" s="46"/>
      <c r="T13" s="46"/>
      <c r="U13" s="46"/>
      <c r="V13" s="46"/>
      <c r="W13" s="46"/>
      <c r="X13" s="46"/>
      <c r="Y13" s="46"/>
      <c r="Z13" s="46"/>
      <c r="AA13" s="46"/>
      <c r="AB13" s="8"/>
      <c r="AC13" s="16">
        <f>25-H23</f>
        <v>10</v>
      </c>
      <c r="AD13" s="16">
        <v>5</v>
      </c>
      <c r="AE13" s="16">
        <v>0</v>
      </c>
      <c r="AF13" s="16"/>
      <c r="AG13" s="16"/>
      <c r="AH13" s="16"/>
      <c r="AI13" s="16"/>
      <c r="AJ13" s="16"/>
      <c r="AK13" s="16"/>
      <c r="AL13" s="16"/>
      <c r="AM13" s="16"/>
      <c r="AN13" s="16"/>
      <c r="AO13" s="16"/>
      <c r="AP13" s="16"/>
    </row>
    <row r="14" spans="1:42" ht="23.15" customHeight="1" x14ac:dyDescent="0.35">
      <c r="A14" s="8"/>
      <c r="B14" s="8"/>
      <c r="C14" s="8"/>
      <c r="D14" s="8"/>
      <c r="E14" s="8"/>
      <c r="F14" s="8"/>
      <c r="G14" s="426"/>
      <c r="H14" s="8"/>
      <c r="I14" s="8"/>
      <c r="J14" s="119"/>
      <c r="K14" s="484"/>
      <c r="L14" s="119"/>
      <c r="M14" s="119"/>
      <c r="N14" s="119"/>
      <c r="O14" s="119"/>
      <c r="P14" s="8"/>
      <c r="Q14" s="8"/>
      <c r="R14" s="8"/>
      <c r="S14" s="8"/>
      <c r="T14" s="8"/>
      <c r="U14" s="8"/>
      <c r="V14" s="8"/>
      <c r="W14" s="8"/>
      <c r="X14" s="8"/>
      <c r="Y14" s="8"/>
      <c r="Z14" s="8"/>
      <c r="AA14" s="8"/>
      <c r="AB14" s="8"/>
      <c r="AC14" s="16">
        <f t="shared" ref="AC14:AC22" si="0">$AC$13+AE14</f>
        <v>15</v>
      </c>
      <c r="AD14" s="16">
        <f t="shared" ref="AD14:AD22" si="1">5+$AC$10*AE14</f>
        <v>3.4217533734634893</v>
      </c>
      <c r="AE14" s="16">
        <v>5</v>
      </c>
      <c r="AF14" s="16" t="s">
        <v>281</v>
      </c>
      <c r="AG14" s="16"/>
      <c r="AH14" s="16"/>
      <c r="AI14" s="16"/>
      <c r="AJ14" s="16"/>
      <c r="AK14" s="16"/>
      <c r="AL14" s="16"/>
      <c r="AM14" s="16"/>
      <c r="AN14" s="16"/>
      <c r="AO14" s="16"/>
      <c r="AP14" s="16"/>
    </row>
    <row r="15" spans="1:42" ht="23.15" customHeight="1" x14ac:dyDescent="0.35">
      <c r="A15" s="8"/>
      <c r="B15" s="8"/>
      <c r="C15" s="8"/>
      <c r="D15" s="8"/>
      <c r="E15" s="8"/>
      <c r="F15" s="8"/>
      <c r="G15" s="8"/>
      <c r="H15" s="8"/>
      <c r="I15" s="8"/>
      <c r="J15" s="119"/>
      <c r="K15" s="119"/>
      <c r="L15" s="119"/>
      <c r="M15" s="119"/>
      <c r="N15" s="119"/>
      <c r="O15" s="119"/>
      <c r="P15" s="8"/>
      <c r="Q15" s="8"/>
      <c r="R15" s="8"/>
      <c r="S15" s="8"/>
      <c r="T15" s="8"/>
      <c r="U15" s="8"/>
      <c r="V15" s="8"/>
      <c r="W15" s="8"/>
      <c r="X15" s="8"/>
      <c r="Y15" s="8"/>
      <c r="Z15" s="8"/>
      <c r="AA15" s="8"/>
      <c r="AB15" s="8"/>
      <c r="AC15" s="16">
        <f t="shared" si="0"/>
        <v>20</v>
      </c>
      <c r="AD15" s="16">
        <f t="shared" si="1"/>
        <v>1.843506746926979</v>
      </c>
      <c r="AE15" s="16">
        <v>10</v>
      </c>
      <c r="AF15" s="16"/>
      <c r="AG15" s="16"/>
      <c r="AH15" s="16"/>
      <c r="AI15" s="16"/>
      <c r="AJ15" s="16"/>
      <c r="AK15" s="16"/>
      <c r="AL15" s="16"/>
      <c r="AM15" s="16"/>
      <c r="AN15" s="16"/>
      <c r="AO15" s="16"/>
      <c r="AP15" s="16"/>
    </row>
    <row r="16" spans="1:42" ht="23.15" customHeight="1" x14ac:dyDescent="0.55000000000000004">
      <c r="A16" s="8"/>
      <c r="B16" s="8"/>
      <c r="C16" s="8"/>
      <c r="D16" s="8"/>
      <c r="E16" s="8"/>
      <c r="F16" s="8"/>
      <c r="G16" s="296" t="s">
        <v>70</v>
      </c>
      <c r="H16" s="297"/>
      <c r="I16" s="8"/>
      <c r="J16" s="8"/>
      <c r="K16" s="8"/>
      <c r="L16" s="8"/>
      <c r="M16" s="8"/>
      <c r="N16" s="8"/>
      <c r="O16" s="8"/>
      <c r="P16" s="8"/>
      <c r="Q16" s="8"/>
      <c r="R16" s="8"/>
      <c r="S16" s="8"/>
      <c r="T16" s="8"/>
      <c r="U16" s="8"/>
      <c r="V16" s="8"/>
      <c r="W16" s="8"/>
      <c r="X16" s="8"/>
      <c r="Y16" s="8"/>
      <c r="Z16" s="8"/>
      <c r="AA16" s="8"/>
      <c r="AB16" s="8"/>
      <c r="AC16" s="16">
        <f t="shared" si="0"/>
        <v>25</v>
      </c>
      <c r="AD16" s="16">
        <f t="shared" si="1"/>
        <v>0.26526012039046876</v>
      </c>
      <c r="AE16" s="16">
        <v>15</v>
      </c>
      <c r="AF16" s="16"/>
      <c r="AG16" s="16"/>
      <c r="AH16" s="16"/>
      <c r="AI16" s="16"/>
      <c r="AJ16" s="16"/>
      <c r="AK16" s="16"/>
      <c r="AL16" s="16"/>
      <c r="AM16" s="16"/>
      <c r="AN16" s="16"/>
      <c r="AO16" s="16"/>
      <c r="AP16" s="16"/>
    </row>
    <row r="17" spans="1:42" ht="23.15" customHeight="1" x14ac:dyDescent="0.45">
      <c r="A17" s="8"/>
      <c r="B17" s="8"/>
      <c r="C17" s="8"/>
      <c r="D17" s="8"/>
      <c r="E17" s="8"/>
      <c r="F17" s="8"/>
      <c r="G17" s="309" t="s">
        <v>282</v>
      </c>
      <c r="H17" s="252">
        <v>1000</v>
      </c>
      <c r="I17" s="8"/>
      <c r="J17" s="119"/>
      <c r="K17" s="310" t="s">
        <v>283</v>
      </c>
      <c r="L17" s="293"/>
      <c r="M17" s="119"/>
      <c r="N17" s="119"/>
      <c r="O17" s="119"/>
      <c r="P17" s="8"/>
      <c r="Q17" s="8"/>
      <c r="R17" s="8"/>
      <c r="S17" s="8"/>
      <c r="T17" s="8"/>
      <c r="U17" s="8"/>
      <c r="V17" s="8"/>
      <c r="W17" s="8"/>
      <c r="X17" s="8"/>
      <c r="Y17" s="8"/>
      <c r="Z17" s="8"/>
      <c r="AA17" s="8"/>
      <c r="AB17" s="8"/>
      <c r="AC17" s="16">
        <f t="shared" si="0"/>
        <v>30</v>
      </c>
      <c r="AD17" s="16">
        <f t="shared" si="1"/>
        <v>-1.312986506146042</v>
      </c>
      <c r="AE17" s="16">
        <v>20</v>
      </c>
      <c r="AF17" s="16"/>
      <c r="AG17" s="16"/>
      <c r="AH17" s="16"/>
      <c r="AI17" s="512" t="s">
        <v>284</v>
      </c>
      <c r="AJ17" s="16" t="s">
        <v>285</v>
      </c>
      <c r="AK17" s="16"/>
      <c r="AL17" s="16"/>
      <c r="AM17" s="16"/>
      <c r="AN17" s="16"/>
      <c r="AO17" s="16"/>
      <c r="AP17" s="16"/>
    </row>
    <row r="18" spans="1:42" ht="23.15" customHeight="1" x14ac:dyDescent="0.35">
      <c r="A18" s="8"/>
      <c r="B18" s="8"/>
      <c r="C18" s="8">
        <v>0</v>
      </c>
      <c r="D18" s="8">
        <v>1500</v>
      </c>
      <c r="E18" s="8"/>
      <c r="F18" s="294"/>
      <c r="G18" s="309"/>
      <c r="H18" s="257"/>
      <c r="I18" s="46"/>
      <c r="J18" s="300"/>
      <c r="K18" s="304" t="s">
        <v>286</v>
      </c>
      <c r="L18" s="311">
        <f>H19*10</f>
        <v>5</v>
      </c>
      <c r="M18" s="119"/>
      <c r="N18" s="300"/>
      <c r="O18" s="119"/>
      <c r="P18" s="8"/>
      <c r="Q18" s="8"/>
      <c r="R18" s="8"/>
      <c r="S18" s="8"/>
      <c r="T18" s="8"/>
      <c r="U18" s="8"/>
      <c r="V18" s="8"/>
      <c r="W18" s="8"/>
      <c r="X18" s="8"/>
      <c r="Y18" s="8"/>
      <c r="Z18" s="8"/>
      <c r="AA18" s="8"/>
      <c r="AB18" s="8"/>
      <c r="AC18" s="16">
        <f t="shared" si="0"/>
        <v>35</v>
      </c>
      <c r="AD18" s="16">
        <f t="shared" si="1"/>
        <v>-2.8912331326825527</v>
      </c>
      <c r="AE18" s="16">
        <v>25</v>
      </c>
      <c r="AF18" s="16"/>
      <c r="AG18" s="16"/>
      <c r="AH18" s="16"/>
      <c r="AI18" s="512" t="s">
        <v>287</v>
      </c>
      <c r="AJ18" s="16"/>
      <c r="AK18" s="16"/>
      <c r="AL18" s="16"/>
      <c r="AM18" s="16"/>
      <c r="AN18" s="16"/>
      <c r="AO18" s="16"/>
      <c r="AP18" s="16"/>
    </row>
    <row r="19" spans="1:42" ht="23.15" customHeight="1" x14ac:dyDescent="0.35">
      <c r="A19" s="8"/>
      <c r="B19" s="8"/>
      <c r="C19" s="8"/>
      <c r="D19" s="8"/>
      <c r="E19" s="8"/>
      <c r="F19" s="294"/>
      <c r="G19" s="309" t="s">
        <v>259</v>
      </c>
      <c r="H19" s="252">
        <v>0.5</v>
      </c>
      <c r="I19" s="46"/>
      <c r="J19" s="300"/>
      <c r="K19" s="304" t="s">
        <v>288</v>
      </c>
      <c r="L19" s="311">
        <f>L18*H17</f>
        <v>5000</v>
      </c>
      <c r="M19" s="119"/>
      <c r="N19" s="300"/>
      <c r="O19" s="119"/>
      <c r="P19" s="8"/>
      <c r="Q19" s="8"/>
      <c r="R19" s="8"/>
      <c r="S19" s="8"/>
      <c r="T19" s="8"/>
      <c r="U19" s="8"/>
      <c r="V19" s="8"/>
      <c r="W19" s="8"/>
      <c r="X19" s="8"/>
      <c r="Y19" s="8"/>
      <c r="Z19" s="8"/>
      <c r="AA19" s="8"/>
      <c r="AB19" s="8"/>
      <c r="AC19" s="16">
        <f t="shared" si="0"/>
        <v>40</v>
      </c>
      <c r="AD19" s="16">
        <f t="shared" si="1"/>
        <v>-4.4694797592190625</v>
      </c>
      <c r="AE19" s="16">
        <v>30</v>
      </c>
      <c r="AF19" s="16"/>
      <c r="AG19" s="16"/>
      <c r="AH19" s="16"/>
      <c r="AI19" s="16"/>
      <c r="AJ19" s="16"/>
      <c r="AK19" s="16"/>
      <c r="AL19" s="16"/>
      <c r="AM19" s="16"/>
      <c r="AN19" s="16"/>
      <c r="AO19" s="16"/>
      <c r="AP19" s="16"/>
    </row>
    <row r="20" spans="1:42" ht="23.15" customHeight="1" x14ac:dyDescent="0.35">
      <c r="A20" s="8"/>
      <c r="B20" s="8"/>
      <c r="C20" s="8">
        <v>5</v>
      </c>
      <c r="D20" s="8">
        <v>40</v>
      </c>
      <c r="E20" s="8"/>
      <c r="F20" s="294"/>
      <c r="G20" s="8"/>
      <c r="H20" s="8"/>
      <c r="I20" s="8"/>
      <c r="J20" s="119"/>
      <c r="K20" s="304" t="s">
        <v>342</v>
      </c>
      <c r="L20" s="315">
        <f>L19/750</f>
        <v>6.666666666666667</v>
      </c>
      <c r="M20" s="119"/>
      <c r="N20" s="300"/>
      <c r="O20" s="119"/>
      <c r="P20" s="8"/>
      <c r="Q20" s="8"/>
      <c r="R20" s="8"/>
      <c r="S20" s="8"/>
      <c r="T20" s="8"/>
      <c r="U20" s="8"/>
      <c r="V20" s="8"/>
      <c r="W20" s="8"/>
      <c r="X20" s="8"/>
      <c r="Y20" s="8"/>
      <c r="Z20" s="8"/>
      <c r="AA20" s="8"/>
      <c r="AB20" s="8"/>
      <c r="AC20" s="16">
        <f t="shared" si="0"/>
        <v>45</v>
      </c>
      <c r="AD20" s="16">
        <f t="shared" si="1"/>
        <v>-6.0477263857555741</v>
      </c>
      <c r="AE20" s="16">
        <v>35</v>
      </c>
      <c r="AF20" s="16"/>
      <c r="AG20" s="16"/>
      <c r="AH20" s="16"/>
      <c r="AI20" s="16"/>
      <c r="AJ20" s="16"/>
      <c r="AK20" s="16"/>
      <c r="AL20" s="16"/>
      <c r="AM20" s="16"/>
      <c r="AN20" s="16"/>
      <c r="AO20" s="16"/>
      <c r="AP20" s="16"/>
    </row>
    <row r="21" spans="1:42" ht="23.15" customHeight="1" x14ac:dyDescent="0.35">
      <c r="A21" s="8"/>
      <c r="B21" s="8"/>
      <c r="C21" s="8"/>
      <c r="D21" s="8"/>
      <c r="E21" s="8"/>
      <c r="F21" s="8"/>
      <c r="G21" s="302" t="s">
        <v>340</v>
      </c>
      <c r="H21" s="313" t="s">
        <v>299</v>
      </c>
      <c r="I21" s="46"/>
      <c r="J21" s="300"/>
      <c r="K21" s="374" t="s">
        <v>290</v>
      </c>
      <c r="L21" s="413">
        <f>L18*0.46+IF(H13&gt;0,H13,H9*10*#REF!)</f>
        <v>2.5900000000000003</v>
      </c>
      <c r="M21" s="119"/>
      <c r="N21" s="300"/>
      <c r="O21" s="119"/>
      <c r="P21" s="8"/>
      <c r="Q21" s="8"/>
      <c r="R21" s="8"/>
      <c r="S21" s="8"/>
      <c r="T21" s="8"/>
      <c r="U21" s="8"/>
      <c r="V21" s="8"/>
      <c r="W21" s="8"/>
      <c r="X21" s="8"/>
      <c r="Y21" s="8"/>
      <c r="Z21" s="8"/>
      <c r="AA21" s="8"/>
      <c r="AB21" s="8"/>
      <c r="AC21" s="16">
        <f t="shared" si="0"/>
        <v>50</v>
      </c>
      <c r="AD21" s="16">
        <f t="shared" si="1"/>
        <v>-7.6259730122920839</v>
      </c>
      <c r="AE21" s="16">
        <v>40</v>
      </c>
      <c r="AF21" s="16"/>
      <c r="AG21" s="16"/>
      <c r="AH21" s="16"/>
      <c r="AI21" s="16"/>
      <c r="AJ21" s="16"/>
      <c r="AK21" s="16"/>
      <c r="AL21" s="16"/>
      <c r="AM21" s="16"/>
      <c r="AN21" s="16"/>
      <c r="AO21" s="16"/>
      <c r="AP21" s="16"/>
    </row>
    <row r="22" spans="1:42" ht="23.15" customHeight="1" x14ac:dyDescent="0.35">
      <c r="A22" s="8"/>
      <c r="B22" s="8"/>
      <c r="C22" s="8">
        <v>5</v>
      </c>
      <c r="D22" s="8">
        <v>30</v>
      </c>
      <c r="F22" s="8"/>
      <c r="G22" s="8"/>
      <c r="H22" s="8"/>
      <c r="I22" s="46"/>
      <c r="J22" s="300"/>
      <c r="K22" s="304" t="s">
        <v>277</v>
      </c>
      <c r="L22" s="314">
        <f>2729.92/(H23+273.15)+0.090181</f>
        <v>9.564135537567239</v>
      </c>
      <c r="M22" s="119"/>
      <c r="N22" s="300"/>
      <c r="O22" s="119"/>
      <c r="P22" s="8"/>
      <c r="Q22" s="8"/>
      <c r="R22" s="8"/>
      <c r="S22" s="8"/>
      <c r="T22" s="8"/>
      <c r="U22" s="8"/>
      <c r="V22" s="8"/>
      <c r="W22" s="8"/>
      <c r="X22" s="8"/>
      <c r="Y22" s="8"/>
      <c r="Z22" s="8"/>
      <c r="AA22" s="8"/>
      <c r="AB22" s="8"/>
      <c r="AC22" s="16">
        <f t="shared" si="0"/>
        <v>55</v>
      </c>
      <c r="AD22" s="16">
        <f t="shared" si="1"/>
        <v>-9.2042196388285955</v>
      </c>
      <c r="AE22" s="16">
        <v>45</v>
      </c>
      <c r="AF22" s="16"/>
      <c r="AG22" s="16"/>
      <c r="AH22" s="16"/>
      <c r="AI22" s="16"/>
      <c r="AJ22" s="16"/>
      <c r="AK22" s="16"/>
      <c r="AL22" s="16"/>
      <c r="AM22" s="16"/>
      <c r="AN22" s="16"/>
      <c r="AO22" s="16"/>
      <c r="AP22" s="16"/>
    </row>
    <row r="23" spans="1:42" ht="23.15" customHeight="1" x14ac:dyDescent="0.35">
      <c r="A23" s="8"/>
      <c r="B23" s="8"/>
      <c r="C23" s="8"/>
      <c r="D23" s="8"/>
      <c r="E23" s="8"/>
      <c r="F23" s="8"/>
      <c r="G23" s="309" t="s">
        <v>291</v>
      </c>
      <c r="H23" s="252">
        <f>VLOOKUP(H21,temps[],2,0)</f>
        <v>15</v>
      </c>
      <c r="I23" s="46"/>
      <c r="J23" s="300"/>
      <c r="K23" s="304" t="s">
        <v>292</v>
      </c>
      <c r="L23" s="312">
        <f>1/(10^(L22-H25)+1)*100</f>
        <v>21.433840196345226</v>
      </c>
      <c r="M23" s="119"/>
      <c r="N23" s="300"/>
      <c r="O23" s="119"/>
      <c r="P23" s="8"/>
      <c r="Q23" s="8"/>
      <c r="R23" s="8"/>
      <c r="S23" s="8"/>
      <c r="T23" s="8"/>
      <c r="U23" s="8"/>
      <c r="V23" s="8"/>
      <c r="W23" s="8"/>
      <c r="X23" s="8"/>
      <c r="Y23" s="8"/>
      <c r="Z23" s="8"/>
      <c r="AA23" s="8"/>
      <c r="AB23" s="8"/>
      <c r="AC23" s="16"/>
      <c r="AD23" s="16"/>
      <c r="AE23" s="16"/>
      <c r="AF23" s="16"/>
      <c r="AG23" s="16"/>
      <c r="AH23" s="16"/>
      <c r="AI23" s="16"/>
      <c r="AJ23" s="16"/>
      <c r="AK23" s="16"/>
      <c r="AL23" s="16"/>
      <c r="AM23" s="16"/>
      <c r="AN23" s="16"/>
      <c r="AO23" s="16"/>
      <c r="AP23" s="16"/>
    </row>
    <row r="24" spans="1:42" ht="23.15" customHeight="1" x14ac:dyDescent="0.35">
      <c r="A24" s="8"/>
      <c r="B24" s="8"/>
      <c r="C24" s="8">
        <v>8.6999999999999993</v>
      </c>
      <c r="D24" s="8">
        <v>9.5</v>
      </c>
      <c r="E24" s="8"/>
      <c r="F24" s="8"/>
      <c r="G24" s="426" t="s">
        <v>344</v>
      </c>
      <c r="H24" s="257"/>
      <c r="I24" s="46"/>
      <c r="J24" s="300"/>
      <c r="K24" s="304" t="s">
        <v>293</v>
      </c>
      <c r="L24" s="315">
        <f>L23/100*L21</f>
        <v>0.55513646108534143</v>
      </c>
      <c r="M24" s="119"/>
      <c r="N24" s="300"/>
      <c r="O24" s="119"/>
      <c r="P24" s="8"/>
      <c r="Q24" s="8"/>
      <c r="R24" s="8"/>
      <c r="S24" s="8"/>
      <c r="T24" s="8"/>
      <c r="U24" s="8"/>
      <c r="V24" s="8"/>
      <c r="W24" s="8"/>
      <c r="X24" s="8"/>
      <c r="Y24" s="8"/>
      <c r="Z24" s="8"/>
      <c r="AA24" s="8"/>
      <c r="AB24" s="8"/>
      <c r="AC24" s="16" t="s">
        <v>294</v>
      </c>
      <c r="AD24" s="16" t="s">
        <v>295</v>
      </c>
      <c r="AE24" s="16"/>
      <c r="AF24" s="16"/>
      <c r="AG24" s="16"/>
      <c r="AH24" s="16"/>
      <c r="AI24" s="16"/>
      <c r="AJ24" s="16"/>
      <c r="AK24" s="16"/>
      <c r="AL24" s="16"/>
      <c r="AM24" s="16"/>
      <c r="AN24" s="16"/>
      <c r="AO24" s="16"/>
      <c r="AP24" s="16"/>
    </row>
    <row r="25" spans="1:42" ht="23.15" customHeight="1" x14ac:dyDescent="0.35">
      <c r="A25" s="8"/>
      <c r="B25" s="8"/>
      <c r="C25" s="8"/>
      <c r="D25" s="8"/>
      <c r="E25" s="8"/>
      <c r="F25" s="8"/>
      <c r="G25" s="309" t="s">
        <v>373</v>
      </c>
      <c r="H25" s="252">
        <v>9</v>
      </c>
      <c r="I25" s="46"/>
      <c r="J25" s="300"/>
      <c r="K25" s="304" t="s">
        <v>296</v>
      </c>
      <c r="L25" s="312">
        <f>(L21*L23)/14.01*10</f>
        <v>39.624301290888035</v>
      </c>
      <c r="M25" s="119"/>
      <c r="N25" s="300"/>
      <c r="O25" s="119"/>
      <c r="P25" s="8"/>
      <c r="Q25" s="8"/>
      <c r="R25" s="8"/>
      <c r="S25" s="8"/>
      <c r="T25" s="8"/>
      <c r="U25" s="8"/>
      <c r="V25" s="8"/>
      <c r="W25" s="8"/>
      <c r="X25" s="8"/>
      <c r="Y25" s="8"/>
      <c r="Z25" s="8"/>
      <c r="AA25" s="8"/>
      <c r="AB25" s="8"/>
      <c r="AC25" s="16">
        <v>5</v>
      </c>
      <c r="AD25" s="16">
        <v>20</v>
      </c>
      <c r="AE25" s="16"/>
      <c r="AF25" s="16"/>
      <c r="AG25" s="16"/>
      <c r="AH25" s="16"/>
      <c r="AI25" s="16"/>
      <c r="AJ25" s="16"/>
      <c r="AK25" s="16"/>
      <c r="AL25" s="16"/>
      <c r="AM25" s="16"/>
      <c r="AN25" s="16"/>
      <c r="AO25" s="16"/>
      <c r="AP25" s="16"/>
    </row>
    <row r="26" spans="1:42" ht="23.15" customHeight="1" x14ac:dyDescent="0.35">
      <c r="A26" s="8"/>
      <c r="B26" s="8"/>
      <c r="C26" s="316" t="s">
        <v>297</v>
      </c>
      <c r="D26" s="316" t="s">
        <v>294</v>
      </c>
      <c r="E26" s="8"/>
      <c r="F26" s="8"/>
      <c r="G26" s="46"/>
      <c r="H26" s="46"/>
      <c r="I26" s="46"/>
      <c r="J26" s="46"/>
      <c r="K26" s="46"/>
      <c r="L26" s="46"/>
      <c r="M26" s="46"/>
      <c r="N26" s="46"/>
      <c r="O26" s="46"/>
      <c r="P26" s="46"/>
      <c r="Q26" s="46"/>
      <c r="R26" s="46"/>
      <c r="S26" s="46"/>
      <c r="T26" s="46"/>
      <c r="U26" s="46"/>
      <c r="V26" s="46"/>
      <c r="W26" s="46"/>
      <c r="X26" s="46"/>
      <c r="Y26" s="46"/>
      <c r="Z26" s="46"/>
      <c r="AA26" s="46"/>
      <c r="AB26" s="46"/>
      <c r="AC26" s="16">
        <v>10</v>
      </c>
      <c r="AD26" s="16">
        <v>15</v>
      </c>
      <c r="AE26" s="16"/>
      <c r="AF26" s="16"/>
      <c r="AG26" s="16"/>
      <c r="AH26" s="16"/>
      <c r="AI26" s="16"/>
      <c r="AJ26" s="16"/>
      <c r="AK26" s="16"/>
      <c r="AL26" s="16"/>
      <c r="AM26" s="16"/>
      <c r="AN26" s="16"/>
      <c r="AO26" s="16"/>
      <c r="AP26" s="16"/>
    </row>
    <row r="27" spans="1:42" ht="23.15" customHeight="1" x14ac:dyDescent="0.35">
      <c r="A27" s="8"/>
      <c r="B27" s="8"/>
      <c r="C27" s="8" t="s">
        <v>289</v>
      </c>
      <c r="D27" s="8">
        <v>5</v>
      </c>
      <c r="E27" s="8"/>
      <c r="F27" s="8"/>
      <c r="G27" s="8"/>
      <c r="H27" s="8"/>
      <c r="I27" s="8"/>
      <c r="J27" s="8"/>
      <c r="K27" s="8"/>
      <c r="L27" s="8"/>
      <c r="M27" s="8"/>
      <c r="N27" s="8"/>
      <c r="O27" s="8"/>
      <c r="P27" s="8"/>
      <c r="Q27" s="8"/>
      <c r="R27" s="8"/>
      <c r="S27" s="8"/>
      <c r="T27" s="8"/>
      <c r="U27" s="8"/>
      <c r="V27" s="8"/>
      <c r="W27" s="8"/>
      <c r="X27" s="8"/>
      <c r="Y27" s="8"/>
      <c r="Z27" s="8"/>
      <c r="AA27" s="8"/>
      <c r="AB27" s="8"/>
      <c r="AC27" s="16">
        <v>15</v>
      </c>
      <c r="AD27" s="16">
        <v>10</v>
      </c>
      <c r="AE27" s="16"/>
      <c r="AF27" s="16"/>
      <c r="AG27" s="16"/>
      <c r="AH27" s="16"/>
      <c r="AI27" s="16"/>
      <c r="AJ27" s="16"/>
      <c r="AK27" s="16"/>
      <c r="AL27" s="16"/>
      <c r="AM27" s="16"/>
      <c r="AN27" s="16"/>
      <c r="AO27" s="16"/>
      <c r="AP27" s="16"/>
    </row>
    <row r="28" spans="1:42" ht="14.5" customHeight="1" x14ac:dyDescent="0.35">
      <c r="A28" s="8"/>
      <c r="B28" s="8"/>
      <c r="C28" s="8" t="s">
        <v>298</v>
      </c>
      <c r="D28" s="8">
        <v>10</v>
      </c>
      <c r="E28" s="8"/>
      <c r="G28" s="482" t="s">
        <v>276</v>
      </c>
      <c r="H28" s="482"/>
      <c r="I28" s="482"/>
      <c r="J28" s="482"/>
      <c r="K28" s="482"/>
      <c r="L28" s="482"/>
      <c r="M28" s="482"/>
      <c r="N28" s="482"/>
      <c r="O28" s="482"/>
      <c r="P28" s="8"/>
      <c r="Q28" s="8"/>
      <c r="R28" s="8"/>
      <c r="S28" s="8"/>
      <c r="T28" s="8"/>
      <c r="U28" s="8"/>
      <c r="V28" s="8"/>
      <c r="W28" s="8"/>
      <c r="X28" s="8"/>
      <c r="Y28" s="8"/>
      <c r="Z28" s="8"/>
      <c r="AA28" s="8"/>
      <c r="AB28" s="8"/>
      <c r="AC28" s="16"/>
      <c r="AD28" s="16"/>
      <c r="AE28" s="16"/>
      <c r="AF28" s="16"/>
      <c r="AG28" s="16"/>
      <c r="AH28" s="16"/>
      <c r="AI28" s="16"/>
      <c r="AJ28" s="16"/>
      <c r="AK28" s="16"/>
      <c r="AL28" s="16"/>
      <c r="AM28" s="16"/>
      <c r="AN28" s="16"/>
      <c r="AO28" s="16"/>
      <c r="AP28" s="16"/>
    </row>
    <row r="29" spans="1:42" ht="14.5" customHeight="1" x14ac:dyDescent="0.35">
      <c r="A29" s="8"/>
      <c r="B29" s="8"/>
      <c r="C29" s="8" t="s">
        <v>299</v>
      </c>
      <c r="D29" s="8">
        <v>15</v>
      </c>
      <c r="E29" s="8"/>
      <c r="F29" s="8"/>
      <c r="G29" s="482" t="s">
        <v>300</v>
      </c>
      <c r="H29" s="482"/>
      <c r="I29" s="482"/>
      <c r="J29" s="482"/>
      <c r="K29" s="482"/>
      <c r="L29" s="482"/>
      <c r="M29" s="482"/>
      <c r="N29" s="482"/>
      <c r="O29" s="482"/>
      <c r="P29" s="8"/>
      <c r="Q29" s="8"/>
      <c r="R29" s="8"/>
      <c r="S29" s="8"/>
      <c r="T29" s="8"/>
      <c r="U29" s="8"/>
      <c r="V29" s="8"/>
      <c r="W29" s="8"/>
      <c r="X29" s="8"/>
      <c r="Y29" s="8"/>
      <c r="Z29" s="8"/>
      <c r="AA29" s="8"/>
      <c r="AB29" s="8"/>
      <c r="AC29" s="16"/>
      <c r="AD29" s="16"/>
      <c r="AE29" s="16"/>
      <c r="AF29" s="16"/>
      <c r="AG29" s="16"/>
      <c r="AH29" s="16"/>
      <c r="AI29" s="16"/>
      <c r="AJ29" s="16"/>
      <c r="AK29" s="16"/>
      <c r="AL29" s="16"/>
      <c r="AM29" s="16"/>
      <c r="AN29" s="16"/>
      <c r="AO29" s="16"/>
      <c r="AP29" s="16"/>
    </row>
    <row r="30" spans="1:42" ht="22.5" customHeight="1" x14ac:dyDescent="0.35">
      <c r="A30" s="8"/>
      <c r="B30" s="8"/>
      <c r="C30" s="8"/>
      <c r="D30" s="8"/>
      <c r="E30" s="8"/>
      <c r="G30" s="482"/>
      <c r="H30" s="482"/>
      <c r="I30" s="482"/>
      <c r="J30" s="482"/>
      <c r="K30" s="482"/>
      <c r="L30" s="482"/>
      <c r="M30" s="482"/>
      <c r="N30" s="482"/>
      <c r="O30" s="482"/>
      <c r="P30" s="8"/>
      <c r="Q30" s="8"/>
      <c r="R30" s="8"/>
      <c r="S30" s="8"/>
      <c r="T30" s="8"/>
      <c r="U30" s="8"/>
      <c r="V30" s="8"/>
      <c r="W30" s="8"/>
      <c r="X30" s="8"/>
      <c r="Y30" s="8"/>
      <c r="Z30" s="8"/>
      <c r="AA30" s="8"/>
      <c r="AB30" s="8"/>
      <c r="AC30" s="16"/>
      <c r="AD30" s="16"/>
      <c r="AE30" s="16"/>
      <c r="AF30" s="16"/>
      <c r="AG30" s="16"/>
      <c r="AH30" s="16"/>
      <c r="AI30" s="16"/>
      <c r="AJ30" s="16"/>
      <c r="AK30" s="16"/>
      <c r="AL30" s="16"/>
      <c r="AM30" s="16"/>
      <c r="AN30" s="16"/>
      <c r="AO30" s="16"/>
      <c r="AP30" s="16"/>
    </row>
    <row r="31" spans="1:42" ht="16" thickBot="1" x14ac:dyDescent="0.4">
      <c r="A31" s="8"/>
      <c r="B31" s="8"/>
      <c r="C31" s="8"/>
      <c r="E31" s="8"/>
      <c r="F31" s="8"/>
      <c r="G31" s="271"/>
      <c r="H31" s="272"/>
      <c r="I31" s="273"/>
      <c r="J31" s="273"/>
      <c r="K31" s="274"/>
      <c r="L31" s="317"/>
      <c r="M31" s="317"/>
      <c r="N31" s="317"/>
      <c r="O31" s="317"/>
      <c r="P31" s="8"/>
      <c r="Q31" s="8"/>
      <c r="R31" s="8"/>
      <c r="S31" s="8"/>
      <c r="T31" s="8"/>
      <c r="U31" s="8"/>
      <c r="V31" s="8"/>
      <c r="W31" s="8"/>
      <c r="X31" s="8"/>
      <c r="Y31" s="8"/>
      <c r="Z31" s="8"/>
      <c r="AA31" s="8"/>
      <c r="AB31" s="8"/>
      <c r="AC31" s="16"/>
      <c r="AD31" s="16"/>
      <c r="AE31" s="16"/>
      <c r="AF31" s="16"/>
      <c r="AG31" s="16"/>
      <c r="AH31" s="16"/>
      <c r="AI31" s="16"/>
      <c r="AJ31" s="16"/>
      <c r="AK31" s="16"/>
      <c r="AL31" s="16"/>
      <c r="AM31" s="16"/>
      <c r="AN31" s="16"/>
      <c r="AO31" s="16"/>
      <c r="AP31" s="16"/>
    </row>
    <row r="32" spans="1:42" ht="16" thickTop="1" x14ac:dyDescent="0.35">
      <c r="A32" s="8"/>
      <c r="B32" s="8"/>
      <c r="C32" s="8"/>
      <c r="D32" s="8"/>
      <c r="E32" s="8"/>
      <c r="G32" s="239" t="s">
        <v>374</v>
      </c>
      <c r="H32" s="275"/>
      <c r="I32" s="276"/>
      <c r="J32" s="276"/>
      <c r="K32" s="277"/>
      <c r="L32" s="8"/>
      <c r="M32" s="8"/>
      <c r="N32" s="8"/>
      <c r="O32" s="8"/>
      <c r="P32" s="8"/>
      <c r="Q32" s="8"/>
      <c r="R32" s="8"/>
      <c r="S32" s="8"/>
      <c r="T32" s="8"/>
      <c r="U32" s="8"/>
      <c r="V32" s="8"/>
      <c r="W32" s="8"/>
      <c r="X32" s="8"/>
      <c r="Y32" s="8"/>
      <c r="Z32" s="8"/>
      <c r="AA32" s="8"/>
      <c r="AB32" s="8"/>
      <c r="AC32" s="16"/>
      <c r="AD32" s="16"/>
      <c r="AE32" s="16"/>
      <c r="AF32" s="16"/>
      <c r="AG32" s="16"/>
      <c r="AH32" s="16"/>
      <c r="AI32" s="16"/>
      <c r="AJ32" s="16"/>
      <c r="AK32" s="16"/>
      <c r="AL32" s="16"/>
      <c r="AM32" s="16"/>
      <c r="AN32" s="16"/>
      <c r="AO32" s="16"/>
      <c r="AP32" s="16"/>
    </row>
    <row r="33" spans="1:42" x14ac:dyDescent="0.35">
      <c r="A33" s="8"/>
      <c r="B33" s="8"/>
      <c r="C33" s="8"/>
      <c r="E33" s="8"/>
      <c r="F33" s="8"/>
      <c r="G33" s="8"/>
      <c r="H33" s="8"/>
      <c r="I33" s="8"/>
      <c r="J33" s="8"/>
      <c r="K33" s="8"/>
      <c r="L33" s="8"/>
      <c r="M33" s="8"/>
      <c r="N33" s="8"/>
      <c r="O33" s="8"/>
      <c r="P33" s="8"/>
      <c r="Q33" s="8"/>
      <c r="R33" s="8"/>
      <c r="S33" s="8"/>
      <c r="T33" s="8"/>
      <c r="U33" s="8"/>
      <c r="V33" s="8"/>
      <c r="W33" s="8"/>
      <c r="X33" s="8"/>
      <c r="Y33" s="8"/>
      <c r="Z33" s="8"/>
      <c r="AA33" s="8"/>
      <c r="AB33" s="8"/>
      <c r="AC33" s="16"/>
      <c r="AD33" s="16"/>
      <c r="AE33" s="16"/>
      <c r="AF33" s="16"/>
      <c r="AG33" s="16"/>
      <c r="AH33" s="16"/>
      <c r="AI33" s="16"/>
      <c r="AJ33" s="16"/>
      <c r="AK33" s="16"/>
      <c r="AL33" s="16"/>
      <c r="AM33" s="16"/>
      <c r="AN33" s="16"/>
      <c r="AO33" s="16"/>
      <c r="AP33" s="16"/>
    </row>
    <row r="34" spans="1:42" x14ac:dyDescent="0.35">
      <c r="A34" s="8"/>
      <c r="B34" s="8"/>
      <c r="C34" s="8"/>
      <c r="D34" s="8"/>
      <c r="E34" s="8"/>
      <c r="G34" s="8"/>
      <c r="H34" s="8"/>
      <c r="I34" s="8"/>
      <c r="J34" s="8"/>
      <c r="K34" s="8"/>
      <c r="L34" s="8"/>
      <c r="M34" s="8"/>
      <c r="N34" s="8"/>
      <c r="O34" s="8"/>
      <c r="P34" s="8"/>
      <c r="Q34" s="8"/>
      <c r="R34" s="8"/>
      <c r="S34" s="8"/>
      <c r="T34" s="8"/>
      <c r="U34" s="8"/>
      <c r="V34" s="8"/>
      <c r="W34" s="8"/>
      <c r="X34" s="8"/>
      <c r="Y34" s="8"/>
      <c r="Z34" s="8"/>
      <c r="AA34" s="8"/>
      <c r="AB34" s="8"/>
      <c r="AC34" s="16"/>
      <c r="AD34" s="16"/>
      <c r="AE34" s="16"/>
      <c r="AF34" s="16"/>
      <c r="AG34" s="16"/>
      <c r="AH34" s="16"/>
      <c r="AI34" s="16"/>
      <c r="AJ34" s="16"/>
      <c r="AK34" s="16"/>
      <c r="AL34" s="16"/>
      <c r="AM34" s="16"/>
      <c r="AN34" s="16"/>
      <c r="AO34" s="16"/>
      <c r="AP34" s="16"/>
    </row>
    <row r="35" spans="1:42" x14ac:dyDescent="0.35">
      <c r="A35" s="8"/>
      <c r="B35" s="8"/>
      <c r="C35" s="8"/>
      <c r="D35" s="8"/>
      <c r="E35" s="16"/>
      <c r="F35" s="16"/>
      <c r="G35" s="16"/>
      <c r="H35" s="16"/>
      <c r="I35" s="16"/>
      <c r="J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row>
    <row r="36" spans="1:42" x14ac:dyDescent="0.35">
      <c r="A36" s="8"/>
      <c r="B36" s="8"/>
      <c r="C36" s="8"/>
      <c r="D36" s="8"/>
      <c r="E36" s="16"/>
      <c r="F36" s="16"/>
      <c r="G36" s="16"/>
      <c r="H36" s="16"/>
      <c r="I36" s="16"/>
      <c r="J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row>
    <row r="37" spans="1:42" x14ac:dyDescent="0.35">
      <c r="A37" s="8"/>
      <c r="B37" s="8"/>
      <c r="C37" s="8"/>
      <c r="D37" s="8"/>
      <c r="E37" s="16"/>
      <c r="F37" s="16"/>
      <c r="G37" s="16"/>
      <c r="H37" s="16"/>
      <c r="I37" s="16"/>
      <c r="J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row>
    <row r="38" spans="1:42" x14ac:dyDescent="0.35">
      <c r="A38" s="8"/>
      <c r="B38" s="8"/>
      <c r="C38" s="8"/>
      <c r="D38" s="8"/>
      <c r="E38" s="16"/>
      <c r="F38" s="16"/>
      <c r="G38" s="16"/>
      <c r="H38" s="16"/>
      <c r="I38" s="16"/>
      <c r="J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row>
    <row r="39" spans="1:42" x14ac:dyDescent="0.35">
      <c r="A39" s="8"/>
      <c r="B39" s="8"/>
      <c r="C39" s="8"/>
      <c r="D39" s="8"/>
      <c r="E39" s="16"/>
      <c r="F39" s="16"/>
      <c r="G39" s="16"/>
      <c r="H39" s="16"/>
      <c r="I39" s="16"/>
      <c r="J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row>
    <row r="40" spans="1:42" x14ac:dyDescent="0.35">
      <c r="A40" s="8"/>
      <c r="B40" s="8"/>
      <c r="C40" s="8"/>
      <c r="D40" s="8"/>
      <c r="E40" s="16"/>
      <c r="F40" s="16"/>
      <c r="G40" s="16"/>
      <c r="H40" s="16"/>
      <c r="I40" s="16"/>
      <c r="J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row>
    <row r="41" spans="1:42" x14ac:dyDescent="0.35">
      <c r="A41" s="8"/>
      <c r="B41" s="8"/>
      <c r="C41" s="8"/>
      <c r="D41" s="8"/>
      <c r="E41" s="16"/>
      <c r="F41" s="16"/>
      <c r="G41" s="16"/>
      <c r="H41" s="16"/>
      <c r="I41" s="16"/>
      <c r="J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row>
    <row r="42" spans="1:42" x14ac:dyDescent="0.35">
      <c r="A42" s="8"/>
      <c r="B42" s="8"/>
      <c r="C42" s="8"/>
      <c r="D42" s="8"/>
      <c r="E42" s="16"/>
      <c r="F42" s="16"/>
      <c r="G42" s="16"/>
      <c r="H42" s="16"/>
      <c r="I42" s="16"/>
      <c r="J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row>
    <row r="43" spans="1:42" x14ac:dyDescent="0.35">
      <c r="A43" s="8"/>
      <c r="B43" s="8"/>
      <c r="C43" s="8"/>
      <c r="D43" s="8"/>
      <c r="E43" s="16"/>
      <c r="F43" s="16"/>
      <c r="G43" s="16"/>
      <c r="H43" s="16"/>
      <c r="I43" s="16"/>
      <c r="J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row>
    <row r="44" spans="1:42" x14ac:dyDescent="0.35">
      <c r="A44" s="8"/>
      <c r="B44" s="8"/>
      <c r="C44" s="8"/>
      <c r="D44" s="8"/>
      <c r="E44" s="16"/>
      <c r="F44" s="16"/>
      <c r="G44" s="16"/>
      <c r="H44" s="16"/>
      <c r="I44" s="16"/>
      <c r="J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row>
    <row r="45" spans="1:42" x14ac:dyDescent="0.35">
      <c r="A45" s="8"/>
      <c r="B45" s="8"/>
      <c r="C45" s="8"/>
      <c r="D45" s="8"/>
      <c r="E45" s="16"/>
      <c r="F45" s="16"/>
      <c r="G45" s="16"/>
      <c r="H45" s="16"/>
      <c r="I45" s="16"/>
      <c r="J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row>
    <row r="46" spans="1:42" x14ac:dyDescent="0.35">
      <c r="A46" s="8"/>
      <c r="B46" s="8"/>
      <c r="C46" s="8"/>
      <c r="D46" s="8"/>
      <c r="E46" s="16"/>
      <c r="F46" s="16"/>
      <c r="G46" s="16"/>
      <c r="H46" s="16"/>
      <c r="I46" s="16"/>
      <c r="J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row>
    <row r="47" spans="1:42" x14ac:dyDescent="0.35">
      <c r="A47" s="8"/>
      <c r="B47" s="8"/>
      <c r="C47" s="8"/>
      <c r="D47" s="8"/>
      <c r="E47" s="16"/>
      <c r="F47" s="16"/>
      <c r="G47" s="16"/>
      <c r="H47" s="16"/>
      <c r="I47" s="16"/>
      <c r="J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row>
    <row r="48" spans="1:42" x14ac:dyDescent="0.35">
      <c r="A48" s="8"/>
      <c r="B48" s="8"/>
      <c r="C48" s="8"/>
      <c r="D48" s="8"/>
      <c r="E48" s="16"/>
      <c r="F48" s="16"/>
      <c r="G48" s="16"/>
      <c r="H48" s="16"/>
      <c r="I48" s="16"/>
      <c r="J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row>
    <row r="49" spans="1:42" x14ac:dyDescent="0.35">
      <c r="A49" s="8"/>
      <c r="B49" s="8"/>
      <c r="C49" s="8"/>
      <c r="D49" s="8"/>
      <c r="E49" s="16"/>
      <c r="F49" s="16"/>
      <c r="G49" s="16"/>
      <c r="H49" s="16"/>
      <c r="I49" s="16"/>
      <c r="J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row>
    <row r="50" spans="1:42" x14ac:dyDescent="0.35">
      <c r="A50" s="8"/>
      <c r="B50" s="8"/>
      <c r="C50" s="8"/>
      <c r="D50" s="8"/>
      <c r="E50" s="16"/>
      <c r="F50" s="16"/>
      <c r="G50" s="16"/>
      <c r="H50" s="16"/>
      <c r="I50" s="16"/>
      <c r="J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row>
    <row r="51" spans="1:42" x14ac:dyDescent="0.35">
      <c r="A51" s="8"/>
      <c r="B51" s="8"/>
      <c r="C51" s="8"/>
      <c r="D51" s="8"/>
      <c r="E51" s="16"/>
      <c r="F51" s="16"/>
      <c r="G51" s="16"/>
      <c r="H51" s="16"/>
      <c r="I51" s="16"/>
      <c r="J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row>
    <row r="52" spans="1:42" x14ac:dyDescent="0.35">
      <c r="A52" s="8"/>
      <c r="B52" s="8"/>
      <c r="C52" s="8"/>
      <c r="D52" s="8"/>
      <c r="E52" s="16"/>
      <c r="F52" s="16"/>
      <c r="G52" s="16"/>
      <c r="H52" s="16"/>
      <c r="I52" s="16"/>
      <c r="J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row>
    <row r="53" spans="1:42" x14ac:dyDescent="0.35">
      <c r="A53" s="8"/>
      <c r="B53" s="8"/>
      <c r="C53" s="8"/>
      <c r="D53" s="8"/>
      <c r="E53" s="16"/>
      <c r="F53" s="16"/>
      <c r="G53" s="16"/>
      <c r="H53" s="16"/>
      <c r="I53" s="16"/>
      <c r="J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row>
    <row r="54" spans="1:42" x14ac:dyDescent="0.35">
      <c r="A54" s="8"/>
      <c r="B54" s="8"/>
      <c r="C54" s="8"/>
      <c r="D54" s="8"/>
      <c r="E54" s="16"/>
      <c r="F54" s="16"/>
      <c r="G54" s="16"/>
      <c r="H54" s="16"/>
      <c r="I54" s="16"/>
      <c r="J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row>
    <row r="55" spans="1:42" x14ac:dyDescent="0.35">
      <c r="A55" s="8"/>
      <c r="B55" s="8"/>
      <c r="C55" s="8"/>
      <c r="D55" s="8"/>
      <c r="E55" s="16"/>
      <c r="F55" s="16"/>
      <c r="G55" s="16"/>
      <c r="H55" s="16"/>
      <c r="I55" s="16"/>
      <c r="J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row>
    <row r="56" spans="1:42" x14ac:dyDescent="0.35">
      <c r="A56" s="8"/>
      <c r="B56" s="8"/>
      <c r="C56" s="8"/>
      <c r="D56" s="8"/>
      <c r="E56" s="16"/>
      <c r="F56" s="16"/>
      <c r="G56" s="16"/>
      <c r="H56" s="16"/>
      <c r="I56" s="16"/>
      <c r="J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row>
    <row r="57" spans="1:42" x14ac:dyDescent="0.35">
      <c r="A57" s="8"/>
      <c r="B57" s="8"/>
      <c r="C57" s="8"/>
      <c r="D57" s="8"/>
      <c r="E57" s="16"/>
      <c r="F57" s="16"/>
      <c r="G57" s="16"/>
      <c r="H57" s="16"/>
      <c r="I57" s="16"/>
      <c r="J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row>
    <row r="58" spans="1:42" x14ac:dyDescent="0.35">
      <c r="A58" s="8"/>
      <c r="B58" s="8"/>
      <c r="C58" s="8"/>
      <c r="D58" s="8"/>
      <c r="E58" s="16"/>
      <c r="F58" s="16"/>
      <c r="G58" s="16"/>
      <c r="H58" s="16"/>
      <c r="I58" s="16"/>
      <c r="J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row>
    <row r="59" spans="1:42" x14ac:dyDescent="0.35">
      <c r="A59" s="8"/>
      <c r="B59" s="8"/>
      <c r="C59" s="8"/>
      <c r="D59" s="8"/>
      <c r="E59" s="16"/>
      <c r="F59" s="16"/>
      <c r="G59" s="16"/>
      <c r="H59" s="16"/>
      <c r="I59" s="16"/>
      <c r="J59" s="16"/>
      <c r="L59" s="16"/>
      <c r="M59" s="16"/>
      <c r="N59" s="16"/>
      <c r="O59" s="16"/>
      <c r="P59" s="16"/>
      <c r="Q59" s="16"/>
      <c r="R59" s="16"/>
      <c r="S59" s="16"/>
      <c r="T59" s="16"/>
      <c r="U59" s="16"/>
      <c r="V59" s="16"/>
      <c r="W59" s="16"/>
      <c r="X59" s="16"/>
      <c r="Y59" s="16"/>
      <c r="Z59" s="16"/>
      <c r="AA59" s="16"/>
      <c r="AB59" s="16"/>
      <c r="AC59" s="16"/>
      <c r="AD59" s="16"/>
      <c r="AE59" s="16"/>
    </row>
    <row r="60" spans="1:42" x14ac:dyDescent="0.35">
      <c r="A60" s="8"/>
      <c r="B60" s="8"/>
      <c r="C60" s="8"/>
      <c r="D60" s="8"/>
      <c r="E60" s="16"/>
      <c r="F60" s="16"/>
      <c r="G60" s="16"/>
      <c r="H60" s="16"/>
      <c r="I60" s="16"/>
      <c r="J60" s="16"/>
      <c r="L60" s="16"/>
      <c r="M60" s="16"/>
      <c r="N60" s="16"/>
      <c r="O60" s="16"/>
      <c r="P60" s="16"/>
      <c r="Q60" s="16"/>
      <c r="R60" s="16"/>
      <c r="S60" s="16"/>
      <c r="T60" s="16"/>
      <c r="U60" s="16"/>
      <c r="V60" s="16"/>
      <c r="W60" s="16"/>
      <c r="X60" s="16"/>
      <c r="Y60" s="16"/>
      <c r="Z60" s="16"/>
      <c r="AA60" s="16"/>
      <c r="AB60" s="16"/>
      <c r="AC60" s="16"/>
      <c r="AD60" s="16"/>
      <c r="AE60" s="16"/>
    </row>
    <row r="61" spans="1:42" x14ac:dyDescent="0.35">
      <c r="A61" s="8"/>
      <c r="B61" s="8"/>
      <c r="C61" s="8"/>
      <c r="D61" s="8"/>
      <c r="E61" s="16"/>
      <c r="F61" s="16"/>
      <c r="G61" s="16"/>
      <c r="H61" s="16"/>
      <c r="I61" s="16"/>
      <c r="J61" s="16"/>
      <c r="L61" s="16"/>
      <c r="M61" s="16"/>
      <c r="N61" s="16"/>
      <c r="O61" s="16"/>
      <c r="P61" s="16"/>
      <c r="Q61" s="16"/>
      <c r="R61" s="16"/>
      <c r="S61" s="16"/>
      <c r="T61" s="16"/>
      <c r="U61" s="16"/>
      <c r="V61" s="16"/>
      <c r="W61" s="16"/>
      <c r="X61" s="16"/>
      <c r="Y61" s="16"/>
      <c r="Z61" s="16"/>
      <c r="AA61" s="16"/>
      <c r="AB61" s="16"/>
      <c r="AC61" s="16"/>
      <c r="AD61" s="16"/>
      <c r="AE61" s="16"/>
    </row>
    <row r="62" spans="1:42" x14ac:dyDescent="0.35">
      <c r="A62" s="8"/>
      <c r="B62" s="8"/>
      <c r="C62" s="8"/>
      <c r="D62" s="8"/>
      <c r="E62" s="16"/>
      <c r="F62" s="16"/>
      <c r="G62" s="16"/>
      <c r="H62" s="16"/>
      <c r="I62" s="16"/>
      <c r="J62" s="16"/>
      <c r="L62" s="16"/>
      <c r="M62" s="16"/>
      <c r="N62" s="16"/>
      <c r="O62" s="16"/>
      <c r="P62" s="16"/>
      <c r="Q62" s="16"/>
      <c r="R62" s="16"/>
      <c r="S62" s="16"/>
      <c r="T62" s="16"/>
      <c r="U62" s="16"/>
      <c r="V62" s="16"/>
      <c r="W62" s="16"/>
      <c r="X62" s="16"/>
      <c r="Y62" s="16"/>
      <c r="Z62" s="16"/>
      <c r="AA62" s="16"/>
      <c r="AB62" s="16"/>
      <c r="AC62" s="16"/>
      <c r="AD62" s="16"/>
      <c r="AE62" s="16"/>
    </row>
    <row r="63" spans="1:42" x14ac:dyDescent="0.35">
      <c r="A63" s="8"/>
      <c r="B63" s="8"/>
      <c r="C63" s="8"/>
      <c r="D63" s="8"/>
      <c r="E63" s="16"/>
      <c r="F63" s="16"/>
      <c r="G63" s="16"/>
      <c r="H63" s="16"/>
      <c r="I63" s="16"/>
      <c r="J63" s="16"/>
      <c r="L63" s="16"/>
      <c r="M63" s="16"/>
      <c r="N63" s="16"/>
      <c r="O63" s="16"/>
      <c r="P63" s="16"/>
      <c r="Q63" s="16"/>
      <c r="R63" s="16"/>
      <c r="S63" s="16"/>
      <c r="T63" s="16"/>
      <c r="U63" s="16"/>
      <c r="V63" s="16"/>
      <c r="W63" s="16"/>
      <c r="X63" s="16"/>
      <c r="Y63" s="16"/>
      <c r="Z63" s="16"/>
      <c r="AA63" s="16"/>
      <c r="AB63" s="16"/>
      <c r="AC63" s="16"/>
      <c r="AD63" s="16"/>
      <c r="AE63" s="16"/>
    </row>
    <row r="64" spans="1:42" x14ac:dyDescent="0.35">
      <c r="A64" s="8"/>
      <c r="B64" s="8"/>
      <c r="C64" s="8"/>
      <c r="D64" s="8"/>
      <c r="E64" s="16"/>
      <c r="F64" s="16"/>
      <c r="G64" s="16"/>
      <c r="H64" s="16"/>
      <c r="I64" s="16"/>
      <c r="J64" s="16"/>
      <c r="L64" s="16"/>
      <c r="M64" s="16"/>
      <c r="N64" s="16"/>
      <c r="O64" s="16"/>
      <c r="P64" s="16"/>
      <c r="Q64" s="16"/>
      <c r="R64" s="16"/>
      <c r="S64" s="16"/>
      <c r="T64" s="16"/>
      <c r="U64" s="16"/>
      <c r="V64" s="16"/>
      <c r="W64" s="16"/>
      <c r="X64" s="16"/>
      <c r="Y64" s="16"/>
      <c r="Z64" s="16"/>
      <c r="AA64" s="16"/>
      <c r="AB64" s="16"/>
      <c r="AC64" s="16"/>
      <c r="AD64" s="16"/>
      <c r="AE64" s="16"/>
    </row>
    <row r="65" spans="1:31" x14ac:dyDescent="0.35">
      <c r="A65" s="8"/>
      <c r="B65" s="8"/>
      <c r="C65" s="8"/>
      <c r="D65" s="8"/>
      <c r="E65" s="16"/>
      <c r="F65" s="16"/>
      <c r="G65" s="16"/>
      <c r="H65" s="16"/>
      <c r="I65" s="16"/>
      <c r="J65" s="16"/>
      <c r="L65" s="16"/>
      <c r="M65" s="16"/>
      <c r="N65" s="16"/>
      <c r="O65" s="16"/>
      <c r="P65" s="16"/>
      <c r="Q65" s="16"/>
      <c r="R65" s="16"/>
      <c r="S65" s="16"/>
      <c r="T65" s="16"/>
      <c r="U65" s="16"/>
      <c r="V65" s="16"/>
      <c r="W65" s="16"/>
      <c r="X65" s="16"/>
      <c r="Y65" s="16"/>
      <c r="Z65" s="16"/>
      <c r="AA65" s="16"/>
      <c r="AB65" s="16"/>
      <c r="AC65" s="16"/>
      <c r="AD65" s="16"/>
      <c r="AE65" s="16"/>
    </row>
    <row r="66" spans="1:31" x14ac:dyDescent="0.35">
      <c r="A66" s="8"/>
      <c r="B66" s="8"/>
      <c r="C66" s="8"/>
      <c r="D66" s="8"/>
      <c r="E66" s="16"/>
      <c r="F66" s="16"/>
      <c r="G66" s="16"/>
      <c r="H66" s="16"/>
      <c r="I66" s="16"/>
      <c r="J66" s="16"/>
      <c r="L66" s="16"/>
      <c r="M66" s="16"/>
      <c r="N66" s="16"/>
      <c r="O66" s="16"/>
      <c r="P66" s="16"/>
      <c r="Q66" s="16"/>
      <c r="R66" s="16"/>
      <c r="S66" s="16"/>
      <c r="T66" s="16"/>
      <c r="U66" s="16"/>
      <c r="V66" s="16"/>
      <c r="W66" s="16"/>
      <c r="X66" s="16"/>
      <c r="Y66" s="16"/>
      <c r="Z66" s="16"/>
      <c r="AA66" s="16"/>
      <c r="AB66" s="16"/>
      <c r="AC66" s="16"/>
      <c r="AD66" s="16"/>
      <c r="AE66" s="16"/>
    </row>
    <row r="67" spans="1:31" x14ac:dyDescent="0.35">
      <c r="A67" s="8"/>
      <c r="B67" s="8"/>
      <c r="C67" s="8"/>
      <c r="D67" s="8"/>
      <c r="E67" s="16"/>
      <c r="F67" s="16"/>
      <c r="G67" s="16"/>
      <c r="H67" s="16"/>
      <c r="I67" s="16"/>
      <c r="J67" s="16"/>
      <c r="L67" s="16"/>
      <c r="M67" s="16"/>
      <c r="N67" s="16"/>
      <c r="O67" s="16"/>
      <c r="P67" s="16"/>
      <c r="Q67" s="16"/>
      <c r="R67" s="16"/>
      <c r="S67" s="16"/>
      <c r="T67" s="16"/>
      <c r="U67" s="16"/>
      <c r="V67" s="16"/>
      <c r="W67" s="16"/>
      <c r="X67" s="16"/>
      <c r="Y67" s="16"/>
      <c r="Z67" s="16"/>
      <c r="AA67" s="16"/>
      <c r="AB67" s="16"/>
      <c r="AC67" s="16"/>
      <c r="AD67" s="16"/>
      <c r="AE67" s="16"/>
    </row>
    <row r="68" spans="1:31" x14ac:dyDescent="0.35">
      <c r="A68" s="8"/>
      <c r="B68" s="8"/>
      <c r="C68" s="8"/>
      <c r="D68" s="8"/>
      <c r="E68" s="16"/>
      <c r="F68" s="16"/>
      <c r="G68" s="16"/>
      <c r="H68" s="16"/>
      <c r="I68" s="16"/>
      <c r="J68" s="16"/>
      <c r="L68" s="16"/>
      <c r="M68" s="16"/>
      <c r="N68" s="16"/>
      <c r="O68" s="16"/>
      <c r="P68" s="16"/>
      <c r="Q68" s="16"/>
      <c r="R68" s="16"/>
      <c r="S68" s="16"/>
      <c r="T68" s="16"/>
      <c r="U68" s="16"/>
      <c r="V68" s="16"/>
      <c r="W68" s="16"/>
      <c r="X68" s="16"/>
      <c r="Y68" s="16"/>
      <c r="Z68" s="16"/>
      <c r="AA68" s="16"/>
      <c r="AB68" s="16"/>
      <c r="AC68" s="16"/>
      <c r="AD68" s="16"/>
      <c r="AE68" s="16"/>
    </row>
    <row r="69" spans="1:31" x14ac:dyDescent="0.35">
      <c r="A69" s="8"/>
      <c r="B69" s="8"/>
      <c r="C69" s="8"/>
      <c r="D69" s="8"/>
      <c r="E69" s="16"/>
      <c r="F69" s="16"/>
      <c r="G69" s="16"/>
      <c r="H69" s="16"/>
      <c r="I69" s="16"/>
      <c r="J69" s="16"/>
      <c r="L69" s="16"/>
      <c r="M69" s="16"/>
      <c r="N69" s="16"/>
      <c r="O69" s="16"/>
      <c r="P69" s="16"/>
      <c r="Q69" s="16"/>
      <c r="R69" s="16"/>
      <c r="S69" s="16"/>
      <c r="T69" s="16"/>
      <c r="U69" s="16"/>
      <c r="V69" s="16"/>
      <c r="W69" s="16"/>
      <c r="X69" s="16"/>
      <c r="Y69" s="16"/>
      <c r="Z69" s="16"/>
      <c r="AA69" s="16"/>
      <c r="AB69" s="16"/>
      <c r="AC69" s="16"/>
      <c r="AD69" s="16"/>
      <c r="AE69" s="16"/>
    </row>
    <row r="70" spans="1:31" x14ac:dyDescent="0.35">
      <c r="A70" s="8"/>
      <c r="B70" s="8"/>
      <c r="C70" s="8"/>
      <c r="D70" s="8"/>
      <c r="E70" s="16"/>
      <c r="F70" s="16"/>
      <c r="G70" s="16"/>
      <c r="H70" s="16"/>
      <c r="I70" s="16"/>
      <c r="J70" s="16"/>
      <c r="L70" s="16"/>
      <c r="M70" s="16"/>
      <c r="N70" s="16"/>
      <c r="O70" s="16"/>
      <c r="P70" s="16"/>
      <c r="Q70" s="16"/>
      <c r="R70" s="16"/>
      <c r="S70" s="16"/>
      <c r="T70" s="16"/>
      <c r="U70" s="16"/>
      <c r="V70" s="16"/>
      <c r="W70" s="16"/>
      <c r="X70" s="16"/>
      <c r="Y70" s="16"/>
      <c r="Z70" s="16"/>
      <c r="AA70" s="16"/>
      <c r="AB70" s="16"/>
      <c r="AC70" s="16"/>
      <c r="AD70" s="16"/>
      <c r="AE70" s="16"/>
    </row>
    <row r="71" spans="1:31" x14ac:dyDescent="0.35">
      <c r="A71" s="8"/>
      <c r="B71" s="8"/>
      <c r="C71" s="8"/>
      <c r="D71" s="8"/>
      <c r="E71" s="16"/>
      <c r="F71" s="16"/>
      <c r="G71" s="16"/>
      <c r="H71" s="16"/>
      <c r="I71" s="16"/>
      <c r="J71" s="16"/>
      <c r="L71" s="16"/>
      <c r="M71" s="16"/>
      <c r="N71" s="16"/>
      <c r="O71" s="16"/>
      <c r="P71" s="16"/>
      <c r="Q71" s="16"/>
      <c r="R71" s="16"/>
      <c r="S71" s="16"/>
      <c r="T71" s="16"/>
      <c r="U71" s="16"/>
      <c r="V71" s="16"/>
      <c r="W71" s="16"/>
      <c r="X71" s="16"/>
      <c r="Y71" s="16"/>
      <c r="Z71" s="16"/>
      <c r="AA71" s="16"/>
      <c r="AB71" s="16"/>
      <c r="AC71" s="16"/>
      <c r="AD71" s="16"/>
      <c r="AE71" s="16"/>
    </row>
    <row r="72" spans="1:31" x14ac:dyDescent="0.35">
      <c r="A72" s="8"/>
      <c r="B72" s="8"/>
      <c r="C72" s="8"/>
      <c r="D72" s="8"/>
      <c r="E72" s="16"/>
      <c r="F72" s="16"/>
      <c r="G72" s="16"/>
      <c r="H72" s="16"/>
      <c r="I72" s="16"/>
      <c r="J72" s="16"/>
      <c r="L72" s="16"/>
      <c r="M72" s="16"/>
      <c r="N72" s="16"/>
      <c r="O72" s="16"/>
      <c r="P72" s="16"/>
      <c r="Q72" s="16"/>
      <c r="R72" s="16"/>
      <c r="S72" s="16"/>
      <c r="T72" s="16"/>
      <c r="U72" s="16"/>
      <c r="V72" s="16"/>
      <c r="W72" s="16"/>
      <c r="X72" s="16"/>
      <c r="Y72" s="16"/>
      <c r="Z72" s="16"/>
      <c r="AA72" s="16"/>
      <c r="AB72" s="16"/>
      <c r="AC72" s="16"/>
      <c r="AD72" s="16"/>
      <c r="AE72" s="16"/>
    </row>
    <row r="73" spans="1:31" x14ac:dyDescent="0.35">
      <c r="A73" s="8"/>
      <c r="B73" s="8"/>
      <c r="C73" s="8"/>
      <c r="D73" s="8"/>
      <c r="E73" s="16"/>
      <c r="F73" s="16"/>
      <c r="G73" s="16"/>
      <c r="H73" s="16"/>
      <c r="I73" s="16"/>
      <c r="J73" s="16"/>
      <c r="L73" s="16"/>
      <c r="M73" s="16"/>
      <c r="N73" s="16"/>
      <c r="O73" s="16"/>
      <c r="P73" s="16"/>
      <c r="Q73" s="16"/>
      <c r="R73" s="16"/>
      <c r="S73" s="16"/>
      <c r="T73" s="16"/>
      <c r="U73" s="16"/>
      <c r="V73" s="16"/>
      <c r="W73" s="16"/>
      <c r="X73" s="16"/>
      <c r="Y73" s="16"/>
      <c r="Z73" s="16"/>
      <c r="AA73" s="16"/>
      <c r="AB73" s="16"/>
      <c r="AC73" s="16"/>
      <c r="AD73" s="16"/>
      <c r="AE73" s="16"/>
    </row>
    <row r="74" spans="1:31" x14ac:dyDescent="0.35">
      <c r="A74" s="8"/>
      <c r="B74" s="8"/>
      <c r="C74" s="8"/>
      <c r="D74" s="8"/>
      <c r="E74" s="16"/>
      <c r="F74" s="16"/>
      <c r="G74" s="16"/>
      <c r="H74" s="16"/>
      <c r="I74" s="16"/>
      <c r="J74" s="16"/>
      <c r="L74" s="16"/>
      <c r="M74" s="16"/>
      <c r="N74" s="16"/>
      <c r="O74" s="16"/>
      <c r="P74" s="16"/>
      <c r="Q74" s="16"/>
      <c r="R74" s="16"/>
      <c r="S74" s="16"/>
      <c r="T74" s="16"/>
      <c r="U74" s="16"/>
      <c r="V74" s="16"/>
      <c r="W74" s="16"/>
      <c r="X74" s="16"/>
      <c r="Y74" s="16"/>
      <c r="Z74" s="16"/>
      <c r="AA74" s="16"/>
      <c r="AB74" s="16"/>
      <c r="AC74" s="16"/>
      <c r="AD74" s="16"/>
      <c r="AE74" s="16"/>
    </row>
    <row r="75" spans="1:31" x14ac:dyDescent="0.35">
      <c r="A75" s="8"/>
      <c r="B75" s="8"/>
      <c r="C75" s="8"/>
      <c r="D75" s="8"/>
      <c r="E75" s="16"/>
      <c r="F75" s="16"/>
      <c r="G75" s="16"/>
      <c r="H75" s="16"/>
      <c r="I75" s="16"/>
      <c r="J75" s="16"/>
      <c r="L75" s="16"/>
      <c r="M75" s="16"/>
      <c r="N75" s="16"/>
      <c r="O75" s="16"/>
      <c r="P75" s="16"/>
      <c r="Q75" s="16"/>
      <c r="R75" s="16"/>
      <c r="S75" s="16"/>
      <c r="T75" s="16"/>
      <c r="U75" s="16"/>
      <c r="V75" s="16"/>
      <c r="W75" s="16"/>
      <c r="X75" s="16"/>
      <c r="Y75" s="16"/>
      <c r="Z75" s="16"/>
      <c r="AA75" s="16"/>
      <c r="AB75" s="16"/>
      <c r="AC75" s="16"/>
      <c r="AD75" s="16"/>
      <c r="AE75" s="16"/>
    </row>
    <row r="76" spans="1:31" x14ac:dyDescent="0.35">
      <c r="A76" s="8"/>
      <c r="B76" s="8"/>
      <c r="C76" s="8"/>
      <c r="D76" s="8"/>
      <c r="E76" s="16"/>
      <c r="F76" s="16"/>
      <c r="G76" s="16"/>
      <c r="H76" s="16"/>
      <c r="I76" s="16"/>
      <c r="J76" s="16"/>
      <c r="L76" s="16"/>
      <c r="M76" s="16"/>
      <c r="N76" s="16"/>
      <c r="O76" s="16"/>
      <c r="P76" s="16"/>
      <c r="Q76" s="16"/>
      <c r="R76" s="16"/>
      <c r="S76" s="16"/>
      <c r="T76" s="16"/>
      <c r="U76" s="16"/>
      <c r="V76" s="16"/>
      <c r="W76" s="16"/>
      <c r="X76" s="16"/>
      <c r="Y76" s="16"/>
      <c r="Z76" s="16"/>
      <c r="AA76" s="16"/>
      <c r="AB76" s="16"/>
      <c r="AC76" s="16"/>
      <c r="AD76" s="16"/>
      <c r="AE76" s="16"/>
    </row>
    <row r="77" spans="1:31" x14ac:dyDescent="0.35">
      <c r="A77" s="8"/>
      <c r="B77" s="8"/>
      <c r="C77" s="8"/>
      <c r="D77" s="8"/>
      <c r="E77" s="16"/>
      <c r="F77" s="16"/>
      <c r="G77" s="16"/>
      <c r="H77" s="16"/>
      <c r="I77" s="16"/>
      <c r="J77" s="16"/>
      <c r="L77" s="16"/>
      <c r="M77" s="16"/>
      <c r="N77" s="16"/>
      <c r="O77" s="16"/>
      <c r="P77" s="16"/>
      <c r="Q77" s="16"/>
      <c r="R77" s="16"/>
      <c r="S77" s="16"/>
      <c r="T77" s="16"/>
      <c r="U77" s="16"/>
      <c r="V77" s="16"/>
      <c r="W77" s="16"/>
      <c r="X77" s="16"/>
      <c r="Y77" s="16"/>
      <c r="Z77" s="16"/>
      <c r="AA77" s="16"/>
      <c r="AB77" s="16"/>
      <c r="AC77" s="16"/>
      <c r="AD77" s="16"/>
      <c r="AE77" s="16"/>
    </row>
    <row r="78" spans="1:31" x14ac:dyDescent="0.35">
      <c r="A78" s="8"/>
      <c r="B78" s="8"/>
      <c r="C78" s="8"/>
      <c r="D78" s="8"/>
      <c r="E78" s="16"/>
      <c r="F78" s="16"/>
      <c r="G78" s="16"/>
      <c r="H78" s="16"/>
      <c r="I78" s="16"/>
      <c r="J78" s="16"/>
      <c r="L78" s="16"/>
      <c r="M78" s="16"/>
      <c r="N78" s="16"/>
      <c r="O78" s="16"/>
      <c r="P78" s="16"/>
      <c r="Q78" s="16"/>
      <c r="R78" s="16"/>
      <c r="S78" s="16"/>
      <c r="T78" s="16"/>
      <c r="U78" s="16"/>
      <c r="V78" s="16"/>
      <c r="W78" s="16"/>
      <c r="X78" s="16"/>
      <c r="Y78" s="16"/>
      <c r="Z78" s="16"/>
      <c r="AA78" s="16"/>
      <c r="AB78" s="16"/>
      <c r="AC78" s="16"/>
      <c r="AD78" s="16"/>
      <c r="AE78" s="16"/>
    </row>
    <row r="79" spans="1:31" x14ac:dyDescent="0.35">
      <c r="A79" s="8"/>
      <c r="B79" s="8"/>
      <c r="C79" s="8"/>
      <c r="D79" s="8"/>
      <c r="E79" s="16"/>
      <c r="F79" s="16"/>
      <c r="G79" s="16"/>
      <c r="H79" s="16"/>
      <c r="I79" s="16"/>
      <c r="J79" s="16"/>
      <c r="L79" s="16"/>
      <c r="M79" s="16"/>
      <c r="N79" s="16"/>
      <c r="O79" s="16"/>
      <c r="P79" s="16"/>
      <c r="Q79" s="16"/>
      <c r="R79" s="16"/>
      <c r="S79" s="16"/>
      <c r="T79" s="16"/>
      <c r="U79" s="16"/>
      <c r="V79" s="16"/>
      <c r="W79" s="16"/>
      <c r="X79" s="16"/>
      <c r="Y79" s="16"/>
      <c r="Z79" s="16"/>
      <c r="AA79" s="16"/>
      <c r="AB79" s="16"/>
      <c r="AC79" s="16"/>
      <c r="AD79" s="16"/>
      <c r="AE79" s="16"/>
    </row>
    <row r="80" spans="1:31" x14ac:dyDescent="0.35">
      <c r="A80" s="8"/>
      <c r="B80" s="8"/>
      <c r="C80" s="8"/>
      <c r="D80" s="8"/>
      <c r="E80" s="16"/>
      <c r="F80" s="16"/>
      <c r="G80" s="16"/>
      <c r="H80" s="16"/>
      <c r="I80" s="16"/>
      <c r="J80" s="16"/>
      <c r="L80" s="16"/>
      <c r="M80" s="16"/>
      <c r="N80" s="16"/>
      <c r="O80" s="16"/>
      <c r="P80" s="16"/>
      <c r="Q80" s="16"/>
      <c r="R80" s="16"/>
      <c r="S80" s="16"/>
      <c r="T80" s="16"/>
      <c r="U80" s="16"/>
      <c r="V80" s="16"/>
      <c r="W80" s="16"/>
      <c r="X80" s="16"/>
      <c r="Y80" s="16"/>
      <c r="Z80" s="16"/>
      <c r="AA80" s="16"/>
      <c r="AB80" s="16"/>
      <c r="AC80" s="16"/>
      <c r="AD80" s="16"/>
      <c r="AE80" s="16"/>
    </row>
    <row r="81" spans="1:29" x14ac:dyDescent="0.3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row>
    <row r="82" spans="1:29" x14ac:dyDescent="0.3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row>
    <row r="83" spans="1:29" x14ac:dyDescent="0.3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row>
    <row r="84" spans="1:29" x14ac:dyDescent="0.3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row>
    <row r="85" spans="1:29" x14ac:dyDescent="0.3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row>
    <row r="86" spans="1:29" x14ac:dyDescent="0.3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row>
    <row r="87" spans="1:29" x14ac:dyDescent="0.3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row>
    <row r="88" spans="1:29" x14ac:dyDescent="0.3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row>
    <row r="89" spans="1:29" x14ac:dyDescent="0.3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row>
    <row r="90" spans="1:29" x14ac:dyDescent="0.3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row>
    <row r="91" spans="1:29" x14ac:dyDescent="0.3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row>
    <row r="92" spans="1:29" x14ac:dyDescent="0.3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row>
    <row r="93" spans="1:29" x14ac:dyDescent="0.3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row>
    <row r="94" spans="1:29" x14ac:dyDescent="0.3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row>
    <row r="95" spans="1:29" x14ac:dyDescent="0.3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row>
    <row r="96" spans="1:29" x14ac:dyDescent="0.3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row>
    <row r="97" spans="1:29" x14ac:dyDescent="0.3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row>
    <row r="98" spans="1:29" x14ac:dyDescent="0.3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row>
    <row r="99" spans="1:29" x14ac:dyDescent="0.3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row>
    <row r="100" spans="1:29" x14ac:dyDescent="0.3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row>
    <row r="101" spans="1:29" x14ac:dyDescent="0.3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row>
    <row r="102" spans="1:29" x14ac:dyDescent="0.3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row>
    <row r="103" spans="1:29" x14ac:dyDescent="0.3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row>
    <row r="104" spans="1:29" x14ac:dyDescent="0.3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row>
    <row r="105" spans="1:29" x14ac:dyDescent="0.3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row>
    <row r="106" spans="1:29" x14ac:dyDescent="0.3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row>
    <row r="107" spans="1:29" x14ac:dyDescent="0.3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row>
    <row r="108" spans="1:29" x14ac:dyDescent="0.3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row>
    <row r="109" spans="1:29" x14ac:dyDescent="0.3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row>
    <row r="110" spans="1:29" x14ac:dyDescent="0.3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row>
    <row r="111" spans="1:29" x14ac:dyDescent="0.3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row>
    <row r="112" spans="1:29" x14ac:dyDescent="0.3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row>
    <row r="113" spans="1:29" x14ac:dyDescent="0.3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row>
    <row r="114" spans="1:29" x14ac:dyDescent="0.3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row>
    <row r="115" spans="1:29" x14ac:dyDescent="0.3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row>
    <row r="116" spans="1:29" x14ac:dyDescent="0.3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row>
    <row r="117" spans="1:29" x14ac:dyDescent="0.3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row>
    <row r="118" spans="1:29" x14ac:dyDescent="0.3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row>
    <row r="119" spans="1:29" x14ac:dyDescent="0.3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row>
    <row r="120" spans="1:29" x14ac:dyDescent="0.3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row>
    <row r="121" spans="1:29" x14ac:dyDescent="0.3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row>
    <row r="122" spans="1:29" x14ac:dyDescent="0.3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row>
  </sheetData>
  <protectedRanges>
    <protectedRange algorithmName="SHA-512" hashValue="m+UU/+d9FXIR11YXVycQONtBgtUj8qc2wRQPULPBmbdKjpT0o0uhjwVreIsROatDG3qZpjCEzvuUcsYFwxl/AA==" saltValue="7HDfaX7GlCIajKZq3eR4wA==" spinCount="100000" sqref="H9:H19 H23:H25" name="Range1"/>
  </protectedRanges>
  <mergeCells count="4">
    <mergeCell ref="G29:O30"/>
    <mergeCell ref="G1:O1"/>
    <mergeCell ref="K12:K14"/>
    <mergeCell ref="G28:O28"/>
  </mergeCells>
  <dataValidations count="4">
    <dataValidation type="decimal" allowBlank="1" showInputMessage="1" showErrorMessage="1" sqref="H25">
      <formula1>C24</formula1>
      <formula2>D24</formula2>
    </dataValidation>
    <dataValidation type="whole" allowBlank="1" showInputMessage="1" showErrorMessage="1" sqref="H17">
      <formula1>C18</formula1>
      <formula2>D18</formula2>
    </dataValidation>
    <dataValidation type="list" allowBlank="1" showInputMessage="1" showErrorMessage="1" sqref="H21">
      <formula1>$C$27:$C$29</formula1>
    </dataValidation>
    <dataValidation type="decimal" allowBlank="1" showInputMessage="1" showErrorMessage="1" sqref="H9 H11 H13">
      <formula1>C9</formula1>
      <formula2>D9</formula2>
    </dataValidation>
  </dataValidations>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K912"/>
  <sheetViews>
    <sheetView topLeftCell="G3" zoomScale="90" zoomScaleNormal="90" workbookViewId="0">
      <selection activeCell="Z34" sqref="Z34"/>
    </sheetView>
  </sheetViews>
  <sheetFormatPr defaultRowHeight="14.5" x14ac:dyDescent="0.35"/>
  <cols>
    <col min="1" max="2" width="11.453125" style="16" hidden="1" customWidth="1"/>
    <col min="3" max="3" width="11.1796875" style="16" hidden="1" customWidth="1"/>
    <col min="4" max="4" width="10.1796875" style="16" hidden="1" customWidth="1"/>
    <col min="5" max="6" width="11.453125" style="16" hidden="1" customWidth="1"/>
    <col min="7" max="8" width="3.26953125" style="16" customWidth="1"/>
    <col min="9" max="9" width="1" style="16" customWidth="1"/>
    <col min="10" max="10" width="20.81640625" style="16" customWidth="1"/>
    <col min="11" max="11" width="13.54296875" style="16" customWidth="1"/>
    <col min="12" max="12" width="9.54296875" style="16" customWidth="1"/>
    <col min="13" max="13" width="3" style="16" customWidth="1"/>
    <col min="14" max="14" width="14.81640625" customWidth="1"/>
    <col min="15" max="15" width="11" customWidth="1"/>
    <col min="16" max="16" width="2.7265625" customWidth="1"/>
    <col min="17" max="17" width="3.81640625" customWidth="1"/>
    <col min="18" max="18" width="22.81640625" customWidth="1"/>
    <col min="19" max="19" width="10.26953125" customWidth="1"/>
    <col min="20" max="20" width="10.453125" style="16" customWidth="1"/>
    <col min="21" max="21" width="11" style="16" customWidth="1"/>
    <col min="22" max="22" width="11.81640625" style="16" customWidth="1"/>
    <col min="23" max="23" width="10" style="16" customWidth="1"/>
    <col min="24" max="24" width="3.54296875" style="16" customWidth="1"/>
    <col min="25" max="25" width="16.7265625" customWidth="1"/>
    <col min="26" max="26" width="13.7265625" style="16" customWidth="1"/>
    <col min="27" max="29" width="24.54296875" style="8" customWidth="1"/>
    <col min="30" max="30" width="12.7265625" customWidth="1"/>
    <col min="31" max="31" width="11" customWidth="1"/>
    <col min="32" max="32" width="19.453125" customWidth="1"/>
    <col min="33" max="33" width="12.7265625" customWidth="1"/>
    <col min="34" max="34" width="10.453125" style="16" customWidth="1"/>
    <col min="35" max="35" width="3.81640625" style="16" customWidth="1"/>
    <col min="36" max="36" width="6.7265625" style="16" customWidth="1"/>
    <col min="37" max="37" width="5.81640625" style="16" customWidth="1"/>
    <col min="38" max="39" width="6.26953125" style="16" customWidth="1"/>
    <col min="40" max="40" width="6.7265625" style="16" customWidth="1"/>
    <col min="41" max="41" width="8.54296875" style="16" customWidth="1"/>
    <col min="42" max="42" width="7" style="16" customWidth="1"/>
    <col min="43" max="43" width="9.1796875" style="16" customWidth="1"/>
    <col min="44" max="44" width="6.81640625" style="16" customWidth="1"/>
    <col min="45" max="45" width="6.453125" style="16" customWidth="1"/>
    <col min="46" max="46" width="5.26953125" style="8" customWidth="1"/>
    <col min="47" max="47" width="6.453125" style="8" customWidth="1"/>
    <col min="48" max="48" width="4.81640625" style="8" customWidth="1"/>
    <col min="49" max="49" width="6" style="8" customWidth="1"/>
    <col min="50" max="50" width="5.7265625" customWidth="1"/>
    <col min="51" max="51" width="6.54296875" customWidth="1"/>
    <col min="52" max="52" width="7.26953125" customWidth="1"/>
    <col min="53" max="53" width="6.7265625" customWidth="1"/>
    <col min="54" max="54" width="7.26953125" customWidth="1"/>
    <col min="55" max="55" width="6.54296875" customWidth="1"/>
    <col min="56" max="56" width="7.7265625" customWidth="1"/>
    <col min="57" max="57" width="7.453125" customWidth="1"/>
    <col min="58" max="58" width="6.7265625" customWidth="1"/>
  </cols>
  <sheetData>
    <row r="1" spans="1:89" ht="14.25" hidden="1" customHeight="1" x14ac:dyDescent="0.7">
      <c r="F1" s="8"/>
      <c r="G1" s="8"/>
      <c r="H1" s="8"/>
      <c r="I1" s="8"/>
      <c r="J1" s="8"/>
      <c r="K1" s="8"/>
      <c r="L1" s="8"/>
      <c r="M1" s="8"/>
      <c r="N1" s="8"/>
      <c r="O1" s="8"/>
      <c r="P1" s="8"/>
      <c r="Q1" s="8"/>
      <c r="R1" s="8"/>
      <c r="S1" s="8"/>
      <c r="T1" s="17"/>
      <c r="U1" s="17"/>
      <c r="V1" s="17"/>
      <c r="W1" s="17"/>
      <c r="X1" s="17"/>
      <c r="Y1" s="18"/>
      <c r="Z1" s="8"/>
      <c r="AD1" s="8"/>
      <c r="AE1" s="8"/>
      <c r="AF1" s="8"/>
      <c r="AG1" s="19"/>
    </row>
    <row r="2" spans="1:89" ht="36" hidden="1" customHeight="1" x14ac:dyDescent="0.45">
      <c r="G2" s="8"/>
      <c r="H2" s="8"/>
      <c r="I2" s="8"/>
      <c r="J2" s="8"/>
      <c r="K2" s="483" t="s">
        <v>326</v>
      </c>
      <c r="L2" s="483"/>
      <c r="M2" s="483"/>
      <c r="N2" s="483"/>
      <c r="O2" s="483"/>
      <c r="P2" s="483"/>
      <c r="Q2" s="483"/>
      <c r="R2" s="483"/>
      <c r="S2" s="483"/>
      <c r="T2" s="483"/>
      <c r="U2" s="483"/>
      <c r="V2" s="483"/>
      <c r="W2" s="483"/>
      <c r="X2" s="483"/>
      <c r="Y2" s="483"/>
      <c r="Z2" s="483"/>
      <c r="AA2" s="20"/>
      <c r="AE2" s="21"/>
      <c r="AF2" s="21"/>
      <c r="AG2" s="21"/>
      <c r="AH2" s="22"/>
      <c r="AT2"/>
      <c r="AU2"/>
      <c r="AV2"/>
      <c r="AW2"/>
      <c r="BG2" s="23"/>
    </row>
    <row r="3" spans="1:89" ht="48" customHeight="1" x14ac:dyDescent="0.75">
      <c r="A3" s="16" t="s">
        <v>37</v>
      </c>
      <c r="B3" s="16" t="s">
        <v>38</v>
      </c>
      <c r="C3" s="16" t="s">
        <v>39</v>
      </c>
      <c r="D3" s="16" t="s">
        <v>40</v>
      </c>
      <c r="E3" s="16" t="s">
        <v>41</v>
      </c>
      <c r="G3" s="8"/>
      <c r="H3" s="8"/>
      <c r="I3" s="8"/>
      <c r="J3" s="28" t="s">
        <v>42</v>
      </c>
      <c r="K3" s="29"/>
      <c r="L3" s="29"/>
      <c r="M3" s="8"/>
      <c r="N3" s="8"/>
      <c r="O3" s="8"/>
      <c r="P3" s="8"/>
      <c r="Q3" s="8"/>
      <c r="R3" s="8"/>
      <c r="S3" s="8"/>
      <c r="T3" s="8"/>
      <c r="U3" s="8"/>
      <c r="V3" s="8"/>
      <c r="W3" s="8"/>
      <c r="X3" s="8"/>
      <c r="Y3" s="8"/>
      <c r="Z3" s="8"/>
      <c r="AD3" s="24"/>
      <c r="AE3" s="24"/>
      <c r="AF3" s="24"/>
      <c r="AG3" s="24"/>
      <c r="AH3" s="25"/>
      <c r="AT3" s="16"/>
      <c r="AU3" s="16"/>
      <c r="AV3" s="16"/>
      <c r="AW3" s="16"/>
      <c r="AX3" s="16"/>
      <c r="AY3" s="16"/>
      <c r="AZ3" s="16"/>
      <c r="BA3" s="16"/>
      <c r="BB3" s="16"/>
      <c r="BC3" s="16"/>
      <c r="BD3" s="16"/>
      <c r="BE3" s="16"/>
      <c r="BF3" s="16"/>
      <c r="BG3" s="27"/>
      <c r="BH3" s="16"/>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row>
    <row r="4" spans="1:89" ht="9" customHeight="1" x14ac:dyDescent="0.75">
      <c r="A4" s="399" t="s">
        <v>325</v>
      </c>
      <c r="B4" s="400" t="s">
        <v>44</v>
      </c>
      <c r="C4" s="399" t="s">
        <v>43</v>
      </c>
      <c r="D4" s="399" t="s">
        <v>45</v>
      </c>
      <c r="E4" s="399" t="s">
        <v>328</v>
      </c>
      <c r="G4" s="8"/>
      <c r="H4" s="8"/>
      <c r="I4" s="8"/>
      <c r="J4" s="28"/>
      <c r="K4" s="29"/>
      <c r="L4" s="29"/>
      <c r="M4" s="8"/>
      <c r="N4" s="8"/>
      <c r="O4" s="8"/>
      <c r="P4" s="8"/>
      <c r="Q4" s="8"/>
      <c r="R4" s="8"/>
      <c r="S4" s="8"/>
      <c r="T4" s="8"/>
      <c r="U4" s="8"/>
      <c r="V4" s="8"/>
      <c r="W4" s="8"/>
      <c r="X4" s="8"/>
      <c r="Y4" s="8"/>
      <c r="Z4" s="8"/>
      <c r="AD4" s="318"/>
      <c r="AE4" s="318"/>
      <c r="AF4" s="318"/>
      <c r="AG4" s="318"/>
      <c r="AH4" s="25"/>
      <c r="AT4" s="16"/>
      <c r="AU4" s="16"/>
      <c r="AV4" s="16"/>
      <c r="AW4" s="16"/>
      <c r="AX4" s="16"/>
      <c r="AY4" s="16"/>
      <c r="AZ4" s="16"/>
      <c r="BA4" s="16"/>
      <c r="BB4" s="16"/>
      <c r="BC4" s="16"/>
      <c r="BD4" s="16"/>
      <c r="BE4" s="16"/>
      <c r="BF4" s="16"/>
      <c r="BG4" s="27"/>
      <c r="BH4" s="16"/>
      <c r="BK4" s="23"/>
      <c r="BL4" s="23"/>
      <c r="BM4" s="23"/>
      <c r="BN4" s="23"/>
      <c r="BO4" s="23"/>
      <c r="BP4" s="23"/>
      <c r="BQ4" s="23"/>
      <c r="BR4" s="23"/>
      <c r="BS4" s="23"/>
      <c r="BT4" s="23"/>
      <c r="BU4" s="23"/>
      <c r="BV4" s="23"/>
      <c r="BW4" s="23"/>
      <c r="BX4" s="23"/>
      <c r="BY4" s="23"/>
      <c r="BZ4" s="23"/>
      <c r="CA4" s="23"/>
      <c r="CB4" s="23"/>
      <c r="CC4" s="23"/>
      <c r="CD4" s="23"/>
      <c r="CE4" s="23"/>
      <c r="CF4" s="23"/>
      <c r="CG4" s="23"/>
      <c r="CH4" s="23"/>
      <c r="CI4" s="23"/>
      <c r="CJ4" s="23"/>
      <c r="CK4" s="23"/>
    </row>
    <row r="5" spans="1:89" ht="3" customHeight="1" thickBot="1" x14ac:dyDescent="0.8">
      <c r="A5" s="399" t="s">
        <v>43</v>
      </c>
      <c r="B5" s="400" t="s">
        <v>45</v>
      </c>
      <c r="C5" s="43" t="s">
        <v>49</v>
      </c>
      <c r="D5" s="43" t="s">
        <v>50</v>
      </c>
      <c r="E5" s="43" t="s">
        <v>329</v>
      </c>
      <c r="F5" s="30"/>
      <c r="G5" s="297"/>
      <c r="H5" s="297"/>
      <c r="I5" s="8"/>
      <c r="J5" s="8"/>
      <c r="K5" s="8"/>
      <c r="L5" s="8"/>
      <c r="M5" s="8"/>
      <c r="N5" s="8"/>
      <c r="O5" s="8"/>
      <c r="P5" s="8"/>
      <c r="Q5" s="15"/>
      <c r="S5" s="29"/>
      <c r="T5" s="29"/>
      <c r="U5" s="8"/>
      <c r="V5" s="8"/>
      <c r="W5" s="8"/>
      <c r="X5" s="8"/>
      <c r="Y5" s="31"/>
      <c r="AD5" s="24"/>
      <c r="AE5" s="24"/>
      <c r="AF5" s="24"/>
      <c r="AG5" s="15"/>
      <c r="AH5" s="6"/>
      <c r="AI5" s="6"/>
      <c r="AJ5" s="6"/>
      <c r="AK5" s="6"/>
      <c r="AL5" s="6"/>
      <c r="AM5" s="6"/>
      <c r="AN5" s="6"/>
      <c r="AO5" s="6"/>
      <c r="AP5" s="32" t="s">
        <v>47</v>
      </c>
      <c r="AQ5" s="32"/>
      <c r="AR5" s="32"/>
      <c r="AS5" s="32"/>
      <c r="AT5" s="16"/>
      <c r="AU5" s="16"/>
      <c r="AV5" s="16"/>
      <c r="AW5" s="16"/>
      <c r="AX5" s="16"/>
      <c r="AY5" s="16"/>
      <c r="AZ5" s="16"/>
      <c r="BA5" s="16"/>
      <c r="BB5" s="32"/>
      <c r="BC5" s="32"/>
      <c r="BD5" s="32"/>
      <c r="BE5" s="32"/>
      <c r="BF5" s="32"/>
      <c r="BG5" s="27"/>
      <c r="BH5" s="16"/>
      <c r="BK5" s="23"/>
      <c r="BL5" s="23"/>
      <c r="BM5" s="23"/>
      <c r="BN5" s="23"/>
      <c r="BO5" s="23"/>
      <c r="BP5" s="23"/>
      <c r="BQ5" s="23"/>
      <c r="BR5" s="23"/>
      <c r="BS5" s="23"/>
      <c r="BT5" s="23"/>
      <c r="BU5" s="23"/>
      <c r="BV5" s="23"/>
      <c r="BW5" s="23"/>
      <c r="BX5" s="23"/>
      <c r="BY5" s="23"/>
      <c r="BZ5" s="23"/>
      <c r="CA5" s="23"/>
      <c r="CB5" s="23"/>
      <c r="CC5" s="23"/>
      <c r="CD5" s="23"/>
      <c r="CE5" s="23"/>
      <c r="CF5" s="23"/>
      <c r="CG5" s="23"/>
      <c r="CH5" s="23"/>
      <c r="CI5" s="23"/>
      <c r="CJ5" s="23"/>
      <c r="CK5" s="23"/>
    </row>
    <row r="6" spans="1:89" ht="32.25" customHeight="1" x14ac:dyDescent="0.75">
      <c r="A6" s="399" t="s">
        <v>66</v>
      </c>
      <c r="B6" s="400" t="s">
        <v>67</v>
      </c>
      <c r="C6" s="43" t="s">
        <v>68</v>
      </c>
      <c r="D6" s="43" t="s">
        <v>43</v>
      </c>
      <c r="E6" s="43" t="s">
        <v>69</v>
      </c>
      <c r="F6" s="30"/>
      <c r="G6" s="297"/>
      <c r="H6" s="297"/>
      <c r="I6" s="486" t="s">
        <v>323</v>
      </c>
      <c r="J6" s="487"/>
      <c r="K6" s="487"/>
      <c r="L6" s="487"/>
      <c r="M6" s="487"/>
      <c r="N6" s="487"/>
      <c r="O6" s="487"/>
      <c r="P6" s="488"/>
      <c r="Q6" s="8"/>
      <c r="R6" s="8"/>
      <c r="S6" s="8"/>
      <c r="T6" s="29"/>
      <c r="U6" s="33"/>
      <c r="V6" s="33"/>
      <c r="W6" s="33"/>
      <c r="X6" s="33"/>
      <c r="Y6" s="33"/>
      <c r="Z6" s="33"/>
      <c r="AA6" s="33"/>
      <c r="AB6" s="33"/>
      <c r="AC6" s="33"/>
      <c r="AD6" s="33"/>
      <c r="AE6" s="26"/>
      <c r="AF6" s="26"/>
      <c r="AG6" s="34"/>
      <c r="AH6" s="35"/>
      <c r="AI6" s="36"/>
      <c r="AJ6" s="37" t="s">
        <v>51</v>
      </c>
      <c r="AK6" s="38" t="s">
        <v>52</v>
      </c>
      <c r="AL6" s="38" t="s">
        <v>53</v>
      </c>
      <c r="AM6" s="38" t="s">
        <v>54</v>
      </c>
      <c r="AN6" s="39" t="s">
        <v>55</v>
      </c>
      <c r="AO6" s="40" t="s">
        <v>56</v>
      </c>
      <c r="AP6" s="39" t="s">
        <v>57</v>
      </c>
      <c r="AQ6" s="39" t="s">
        <v>58</v>
      </c>
      <c r="AR6" s="39"/>
      <c r="AS6" s="39"/>
      <c r="AT6" s="40">
        <v>41256</v>
      </c>
      <c r="AU6" s="40">
        <v>41754</v>
      </c>
      <c r="AV6" s="39"/>
      <c r="AW6" s="40">
        <v>41317</v>
      </c>
      <c r="AX6" s="41" t="s">
        <v>59</v>
      </c>
      <c r="AY6" s="41" t="s">
        <v>59</v>
      </c>
      <c r="AZ6" s="41" t="s">
        <v>59</v>
      </c>
      <c r="BA6" s="39" t="s">
        <v>59</v>
      </c>
      <c r="BB6" s="39" t="s">
        <v>60</v>
      </c>
      <c r="BC6" s="39" t="s">
        <v>61</v>
      </c>
      <c r="BD6" s="42" t="s">
        <v>62</v>
      </c>
      <c r="BE6" s="32" t="s">
        <v>62</v>
      </c>
      <c r="BF6" s="32" t="s">
        <v>61</v>
      </c>
      <c r="BG6" s="27"/>
      <c r="BH6" s="40" t="s">
        <v>63</v>
      </c>
      <c r="BI6" s="39" t="s">
        <v>64</v>
      </c>
      <c r="BJ6" s="39"/>
      <c r="BK6" s="39" t="s">
        <v>65</v>
      </c>
    </row>
    <row r="7" spans="1:89" ht="20.149999999999999" customHeight="1" x14ac:dyDescent="0.45">
      <c r="A7" s="402" t="s">
        <v>48</v>
      </c>
      <c r="B7" s="43"/>
      <c r="C7" s="43"/>
      <c r="D7" s="43"/>
      <c r="E7" s="43" t="s">
        <v>327</v>
      </c>
      <c r="F7" s="43"/>
      <c r="G7" s="198"/>
      <c r="H7" s="198"/>
      <c r="I7" s="44"/>
      <c r="J7" s="15"/>
      <c r="K7" s="15"/>
      <c r="L7" s="15"/>
      <c r="M7" s="15"/>
      <c r="N7" s="15"/>
      <c r="O7" s="15"/>
      <c r="P7" s="45"/>
      <c r="Q7" s="26"/>
      <c r="R7" s="13" t="s">
        <v>70</v>
      </c>
      <c r="S7" s="46"/>
      <c r="T7" s="10"/>
      <c r="U7" s="47"/>
      <c r="V7" s="489"/>
      <c r="W7" s="47"/>
      <c r="X7" s="47"/>
      <c r="Y7" s="47"/>
      <c r="Z7" s="47"/>
      <c r="AA7" s="47"/>
      <c r="AB7" s="47"/>
      <c r="AC7" s="47"/>
      <c r="AD7" s="47"/>
      <c r="AE7" s="8"/>
      <c r="AF7" s="26"/>
      <c r="AG7" s="34"/>
      <c r="AH7" s="48" t="s">
        <v>71</v>
      </c>
      <c r="AI7" s="49"/>
      <c r="AJ7" s="50"/>
      <c r="AK7" s="49"/>
      <c r="AL7" s="49"/>
      <c r="AM7" s="49"/>
      <c r="AN7" s="35"/>
      <c r="AO7" s="51"/>
      <c r="AP7" s="35" t="s">
        <v>72</v>
      </c>
      <c r="AQ7" s="35" t="s">
        <v>73</v>
      </c>
      <c r="AR7" s="35" t="s">
        <v>72</v>
      </c>
      <c r="AS7" s="35" t="s">
        <v>73</v>
      </c>
      <c r="AT7" s="35" t="s">
        <v>74</v>
      </c>
      <c r="AU7" s="35" t="s">
        <v>75</v>
      </c>
      <c r="AV7" s="35"/>
      <c r="AW7" s="35" t="s">
        <v>76</v>
      </c>
      <c r="AX7" s="35" t="s">
        <v>77</v>
      </c>
      <c r="AY7" s="35" t="s">
        <v>78</v>
      </c>
      <c r="AZ7" s="35" t="s">
        <v>79</v>
      </c>
      <c r="BA7" s="35" t="s">
        <v>80</v>
      </c>
      <c r="BB7" s="35" t="s">
        <v>81</v>
      </c>
      <c r="BC7" s="35" t="s">
        <v>82</v>
      </c>
      <c r="BD7" s="52" t="s">
        <v>83</v>
      </c>
      <c r="BE7" s="27" t="s">
        <v>84</v>
      </c>
      <c r="BF7" s="27" t="s">
        <v>85</v>
      </c>
      <c r="BG7" s="27"/>
      <c r="BH7" s="51"/>
      <c r="BI7" s="35"/>
      <c r="BJ7" s="35"/>
      <c r="BK7" s="35"/>
    </row>
    <row r="8" spans="1:89" ht="20.25" customHeight="1" x14ac:dyDescent="0.45">
      <c r="A8" s="401"/>
      <c r="B8" s="399"/>
      <c r="C8" s="43"/>
      <c r="D8" s="43"/>
      <c r="E8" s="43" t="s">
        <v>330</v>
      </c>
      <c r="F8" s="30"/>
      <c r="G8" s="297"/>
      <c r="H8" s="297"/>
      <c r="I8" s="44"/>
      <c r="J8" s="15"/>
      <c r="K8" s="53"/>
      <c r="L8" s="53"/>
      <c r="M8" s="53"/>
      <c r="N8" s="53" t="s">
        <v>87</v>
      </c>
      <c r="O8" s="54">
        <v>500</v>
      </c>
      <c r="P8" s="55"/>
      <c r="Q8" s="56"/>
      <c r="R8" s="396" t="s">
        <v>88</v>
      </c>
      <c r="S8" s="397"/>
      <c r="T8" s="347">
        <f>O8</f>
        <v>500</v>
      </c>
      <c r="U8" s="14" t="s">
        <v>89</v>
      </c>
      <c r="V8" s="489"/>
      <c r="W8" s="14"/>
      <c r="X8" s="14"/>
      <c r="Y8" s="14"/>
      <c r="Z8" s="14"/>
      <c r="AA8" s="14"/>
      <c r="AB8" s="14"/>
      <c r="AC8" s="14"/>
      <c r="AD8" s="14"/>
      <c r="AE8" s="8"/>
      <c r="AF8" s="26"/>
      <c r="AG8" s="34"/>
      <c r="AH8" s="58" t="s">
        <v>90</v>
      </c>
      <c r="AI8" s="49"/>
      <c r="AJ8" s="50"/>
      <c r="AK8" s="49"/>
      <c r="AL8" s="49"/>
      <c r="AM8" s="49"/>
      <c r="AN8" s="35"/>
      <c r="AO8" s="51"/>
      <c r="AP8" s="35"/>
      <c r="AQ8" s="35"/>
      <c r="AR8" s="35"/>
      <c r="AS8" s="35"/>
      <c r="AT8" s="35"/>
      <c r="AU8" s="35"/>
      <c r="AV8" s="35"/>
      <c r="AW8" s="35"/>
      <c r="AX8" s="35" t="s">
        <v>91</v>
      </c>
      <c r="AY8" s="35" t="s">
        <v>92</v>
      </c>
      <c r="AZ8" s="35" t="s">
        <v>93</v>
      </c>
      <c r="BA8" s="35" t="s">
        <v>94</v>
      </c>
      <c r="BB8" s="35" t="s">
        <v>95</v>
      </c>
      <c r="BC8" s="35" t="s">
        <v>95</v>
      </c>
      <c r="BD8" s="52" t="s">
        <v>95</v>
      </c>
      <c r="BE8" s="27" t="s">
        <v>95</v>
      </c>
      <c r="BF8" s="27" t="s">
        <v>95</v>
      </c>
      <c r="BG8" s="27"/>
      <c r="BH8" s="51"/>
      <c r="BI8" s="35"/>
      <c r="BJ8" s="35"/>
      <c r="BK8" s="35"/>
    </row>
    <row r="9" spans="1:89" ht="20.149999999999999" customHeight="1" x14ac:dyDescent="0.35">
      <c r="A9" s="43"/>
      <c r="B9" s="43"/>
      <c r="C9" s="43"/>
      <c r="D9" s="43"/>
      <c r="E9" s="43"/>
      <c r="F9" s="43"/>
      <c r="G9" s="198"/>
      <c r="H9" s="198"/>
      <c r="I9" s="59"/>
      <c r="J9" s="138"/>
      <c r="K9" s="53"/>
      <c r="L9" s="53"/>
      <c r="M9" s="53"/>
      <c r="N9" s="53" t="s">
        <v>44</v>
      </c>
      <c r="O9" s="54">
        <v>1</v>
      </c>
      <c r="P9" s="55"/>
      <c r="Q9" s="56"/>
      <c r="R9" s="398" t="s">
        <v>96</v>
      </c>
      <c r="S9" s="397"/>
      <c r="T9" s="347">
        <f>IF(N9="%",O9*10,O9)</f>
        <v>10</v>
      </c>
      <c r="U9" s="14" t="s">
        <v>97</v>
      </c>
      <c r="V9" s="489"/>
      <c r="W9" s="14"/>
      <c r="X9" s="14"/>
      <c r="Y9" s="14"/>
      <c r="Z9" s="14"/>
      <c r="AA9" s="14"/>
      <c r="AB9" s="14"/>
      <c r="AC9" s="14"/>
      <c r="AD9" s="14"/>
      <c r="AE9" s="8"/>
      <c r="AF9" s="26"/>
      <c r="AG9" s="34"/>
      <c r="AH9" s="61" t="s">
        <v>98</v>
      </c>
      <c r="AI9" s="27" t="s">
        <v>99</v>
      </c>
      <c r="AJ9" s="62">
        <f>MIN(AN9:BF9)</f>
        <v>38.4</v>
      </c>
      <c r="AK9" s="63">
        <f>MAX(AN9:BF9)</f>
        <v>52</v>
      </c>
      <c r="AL9" s="63">
        <f>AVERAGE(AN9:BF9)</f>
        <v>47</v>
      </c>
      <c r="AM9" s="64">
        <f>STDEV(AN9:BF9)/AL9</f>
        <v>0.1591625890150217</v>
      </c>
      <c r="AN9" s="35">
        <v>38.4</v>
      </c>
      <c r="AO9" s="35">
        <v>50.6</v>
      </c>
      <c r="AP9" s="35"/>
      <c r="AQ9" s="35"/>
      <c r="AR9" s="35"/>
      <c r="AS9" s="35"/>
      <c r="AT9" s="35"/>
      <c r="AU9" s="35">
        <v>52</v>
      </c>
      <c r="AV9" s="35"/>
      <c r="AW9" s="35"/>
      <c r="AX9" s="65"/>
      <c r="AY9" s="35"/>
      <c r="AZ9" s="35"/>
      <c r="BA9" s="35"/>
      <c r="BB9" s="35"/>
      <c r="BC9" s="35"/>
      <c r="BD9" s="52"/>
      <c r="BE9" s="27"/>
      <c r="BF9" s="27"/>
      <c r="BG9" s="27"/>
      <c r="BH9" s="35"/>
      <c r="BI9" s="66"/>
      <c r="BJ9" s="66"/>
      <c r="BK9" s="66"/>
    </row>
    <row r="10" spans="1:89" s="8" customFormat="1" ht="39" customHeight="1" x14ac:dyDescent="0.35">
      <c r="A10" s="43"/>
      <c r="B10" s="43"/>
      <c r="C10" s="43"/>
      <c r="D10" s="43"/>
      <c r="E10" s="43"/>
      <c r="F10" s="43"/>
      <c r="G10" s="198"/>
      <c r="H10" s="198"/>
      <c r="I10" s="59"/>
      <c r="J10" s="138"/>
      <c r="K10" s="490" t="s">
        <v>317</v>
      </c>
      <c r="L10" s="490"/>
      <c r="M10" s="53"/>
      <c r="N10" s="490" t="s">
        <v>318</v>
      </c>
      <c r="O10" s="490"/>
      <c r="P10" s="67"/>
      <c r="Q10" s="56"/>
      <c r="R10" s="46"/>
      <c r="S10" s="57"/>
      <c r="T10" s="68"/>
      <c r="U10" s="14"/>
      <c r="V10" s="489"/>
      <c r="W10" s="14"/>
      <c r="X10" s="14"/>
      <c r="Y10" s="14"/>
      <c r="Z10" s="14"/>
      <c r="AA10" s="14"/>
      <c r="AB10" s="14"/>
      <c r="AC10" s="14"/>
      <c r="AD10" s="14"/>
      <c r="AG10" s="34"/>
      <c r="AH10" s="61" t="s">
        <v>100</v>
      </c>
      <c r="AI10" s="69"/>
      <c r="AJ10" s="70"/>
      <c r="AK10" s="69"/>
      <c r="AL10" s="69"/>
      <c r="AM10" s="69"/>
      <c r="AN10" s="35">
        <v>61.6</v>
      </c>
      <c r="AO10" s="35">
        <v>49.4</v>
      </c>
      <c r="AP10" s="35"/>
      <c r="AQ10" s="35"/>
      <c r="AR10" s="35"/>
      <c r="AS10" s="35"/>
      <c r="AT10" s="35"/>
      <c r="AU10" s="35"/>
      <c r="AV10" s="35"/>
      <c r="AW10" s="35"/>
      <c r="AX10" s="35"/>
      <c r="AY10" s="35"/>
      <c r="AZ10" s="35"/>
      <c r="BA10" s="35"/>
      <c r="BB10" s="35"/>
      <c r="BC10" s="35"/>
      <c r="BD10" s="52"/>
      <c r="BE10" s="27"/>
      <c r="BF10" s="27"/>
      <c r="BG10" s="27"/>
      <c r="BH10" s="35"/>
      <c r="BI10" s="35"/>
      <c r="BJ10" s="35"/>
      <c r="BK10" s="35"/>
      <c r="BL10"/>
      <c r="BM10"/>
      <c r="BN10"/>
      <c r="BO10"/>
      <c r="BP10"/>
      <c r="BQ10"/>
      <c r="BR10"/>
      <c r="BS10"/>
      <c r="BT10"/>
      <c r="BU10"/>
      <c r="BV10"/>
      <c r="BW10"/>
      <c r="BX10"/>
      <c r="BY10"/>
      <c r="BZ10"/>
      <c r="CA10"/>
      <c r="CB10"/>
      <c r="CC10"/>
      <c r="CD10"/>
      <c r="CE10"/>
      <c r="CF10"/>
      <c r="CG10"/>
      <c r="CH10"/>
      <c r="CI10"/>
      <c r="CJ10"/>
      <c r="CK10"/>
    </row>
    <row r="11" spans="1:89" s="8" customFormat="1" ht="39" customHeight="1" x14ac:dyDescent="0.35">
      <c r="A11" s="43"/>
      <c r="B11" s="43"/>
      <c r="C11" s="43"/>
      <c r="D11" s="43"/>
      <c r="E11" s="43"/>
      <c r="F11" s="43"/>
      <c r="G11" s="198"/>
      <c r="H11" s="198"/>
      <c r="I11" s="71"/>
      <c r="J11" s="378"/>
      <c r="K11" s="72" t="s">
        <v>101</v>
      </c>
      <c r="L11" s="72" t="s">
        <v>102</v>
      </c>
      <c r="M11" s="385"/>
      <c r="N11" s="72" t="s">
        <v>101</v>
      </c>
      <c r="O11" s="72" t="s">
        <v>102</v>
      </c>
      <c r="P11" s="67"/>
      <c r="Q11" s="56"/>
      <c r="R11" s="74" t="s">
        <v>103</v>
      </c>
      <c r="S11" s="75" t="s">
        <v>104</v>
      </c>
      <c r="T11" s="76" t="s">
        <v>105</v>
      </c>
      <c r="U11" s="76" t="s">
        <v>106</v>
      </c>
      <c r="V11" s="77" t="s">
        <v>107</v>
      </c>
      <c r="W11" s="77" t="s">
        <v>108</v>
      </c>
      <c r="X11" s="47"/>
      <c r="Y11" s="485" t="s">
        <v>319</v>
      </c>
      <c r="Z11" s="485"/>
      <c r="AA11" s="33"/>
      <c r="AB11" s="33"/>
      <c r="AC11" s="33"/>
      <c r="AD11" s="78"/>
      <c r="AG11" s="34"/>
      <c r="AH11" s="16"/>
      <c r="AI11" s="16"/>
      <c r="AJ11" s="79"/>
      <c r="AK11" s="6"/>
      <c r="AL11" s="6"/>
      <c r="AM11" s="6"/>
      <c r="AN11" s="6"/>
      <c r="AO11" s="6"/>
      <c r="AP11" s="6"/>
      <c r="AQ11" s="6"/>
      <c r="AR11" s="6"/>
      <c r="AS11" s="6"/>
      <c r="AT11" s="35"/>
      <c r="AU11" s="35"/>
      <c r="AV11" s="35"/>
      <c r="AW11" s="35"/>
      <c r="AX11" s="35"/>
      <c r="AY11" s="35"/>
      <c r="AZ11" s="35"/>
      <c r="BA11" s="35"/>
      <c r="BB11" s="35"/>
      <c r="BC11" s="35"/>
      <c r="BD11" s="52"/>
      <c r="BE11" s="27"/>
      <c r="BF11" s="27"/>
      <c r="BG11" s="27"/>
      <c r="BH11" s="6"/>
      <c r="BI11" s="6"/>
      <c r="BJ11" s="6"/>
      <c r="BK11" s="6"/>
      <c r="BL11"/>
      <c r="BM11"/>
      <c r="BN11"/>
      <c r="BO11"/>
      <c r="BP11"/>
      <c r="BQ11"/>
      <c r="BR11"/>
      <c r="BS11"/>
      <c r="BT11"/>
      <c r="BU11"/>
      <c r="BV11"/>
      <c r="BW11"/>
      <c r="BX11"/>
      <c r="BY11"/>
      <c r="BZ11"/>
      <c r="CA11"/>
      <c r="CB11"/>
      <c r="CC11"/>
      <c r="CD11"/>
      <c r="CE11"/>
      <c r="CF11"/>
      <c r="CG11"/>
      <c r="CH11"/>
      <c r="CI11"/>
      <c r="CJ11"/>
      <c r="CK11"/>
    </row>
    <row r="12" spans="1:89" s="8" customFormat="1" ht="20.149999999999999" customHeight="1" x14ac:dyDescent="0.35">
      <c r="A12" s="43"/>
      <c r="B12" s="43"/>
      <c r="C12" s="43"/>
      <c r="D12" s="43"/>
      <c r="E12" s="43" t="s">
        <v>110</v>
      </c>
      <c r="F12" s="43"/>
      <c r="G12" s="198"/>
      <c r="H12" s="198"/>
      <c r="I12" s="379"/>
      <c r="J12" s="384" t="str">
        <f>R12</f>
        <v>pH</v>
      </c>
      <c r="K12" s="95" t="s">
        <v>111</v>
      </c>
      <c r="L12" s="81">
        <v>7</v>
      </c>
      <c r="M12" s="73"/>
      <c r="N12" s="80" t="s">
        <v>111</v>
      </c>
      <c r="O12" s="82">
        <v>9.3000000000000007</v>
      </c>
      <c r="P12" s="67"/>
      <c r="Q12" s="56"/>
      <c r="R12" s="83" t="s">
        <v>112</v>
      </c>
      <c r="S12" s="84">
        <f>L12</f>
        <v>7</v>
      </c>
      <c r="T12" s="85">
        <f>$O$12</f>
        <v>9.3000000000000007</v>
      </c>
      <c r="U12" s="86"/>
      <c r="V12" s="87" t="s">
        <v>113</v>
      </c>
      <c r="W12" s="88"/>
      <c r="X12" s="89"/>
      <c r="Y12" s="77" t="s">
        <v>320</v>
      </c>
      <c r="Z12" s="77"/>
      <c r="AA12" s="33"/>
      <c r="AB12" s="33"/>
      <c r="AC12" s="33"/>
      <c r="AD12" s="78"/>
      <c r="AG12" s="34"/>
      <c r="AH12" s="92" t="s">
        <v>112</v>
      </c>
      <c r="AI12" s="69"/>
      <c r="AJ12" s="70"/>
      <c r="AK12" s="69"/>
      <c r="AL12" s="69"/>
      <c r="AM12" s="69"/>
      <c r="AN12" s="35">
        <v>9.3000000000000007</v>
      </c>
      <c r="AO12" s="35">
        <v>9.1999999999999993</v>
      </c>
      <c r="AP12" s="35"/>
      <c r="AQ12" s="35"/>
      <c r="AR12" s="35"/>
      <c r="AS12" s="35"/>
      <c r="AT12" s="35"/>
      <c r="AU12" s="35">
        <v>8</v>
      </c>
      <c r="AV12" s="35"/>
      <c r="AW12" s="35"/>
      <c r="AX12" s="35"/>
      <c r="AY12" s="35"/>
      <c r="AZ12" s="35"/>
      <c r="BA12" s="35"/>
      <c r="BB12" s="35"/>
      <c r="BC12" s="35"/>
      <c r="BD12" s="52"/>
      <c r="BE12" s="27"/>
      <c r="BF12" s="27"/>
      <c r="BG12" s="27"/>
      <c r="BH12" s="35">
        <v>9.1999999999999993</v>
      </c>
      <c r="BI12" s="35">
        <v>7</v>
      </c>
      <c r="BJ12" s="35">
        <v>9.1999999999999993</v>
      </c>
      <c r="BK12" s="35"/>
      <c r="BL12"/>
      <c r="BM12"/>
      <c r="BN12"/>
      <c r="BO12"/>
      <c r="BP12"/>
      <c r="BQ12"/>
      <c r="BR12"/>
      <c r="BS12"/>
      <c r="BT12"/>
      <c r="BU12"/>
      <c r="BV12"/>
      <c r="BW12"/>
      <c r="BX12"/>
      <c r="BY12"/>
      <c r="BZ12"/>
      <c r="CA12"/>
      <c r="CB12"/>
      <c r="CC12"/>
      <c r="CD12"/>
      <c r="CE12"/>
      <c r="CF12"/>
      <c r="CG12"/>
      <c r="CH12"/>
      <c r="CI12"/>
      <c r="CJ12"/>
      <c r="CK12"/>
    </row>
    <row r="13" spans="1:89" s="8" customFormat="1" ht="20.149999999999999" customHeight="1" x14ac:dyDescent="0.35">
      <c r="A13" s="93" t="s">
        <v>114</v>
      </c>
      <c r="B13" s="93"/>
      <c r="C13" s="16"/>
      <c r="D13" s="16"/>
      <c r="E13" s="16">
        <f>(T13)/100</f>
        <v>1.57E-3</v>
      </c>
      <c r="F13" s="16"/>
      <c r="I13" s="380"/>
      <c r="J13" s="384" t="str">
        <f t="shared" ref="J13:J36" si="0">R13</f>
        <v>Torrsubstans</v>
      </c>
      <c r="K13" s="381" t="s">
        <v>45</v>
      </c>
      <c r="L13" s="95">
        <v>1.64</v>
      </c>
      <c r="M13" s="53"/>
      <c r="N13" s="94" t="s">
        <v>50</v>
      </c>
      <c r="O13" s="95">
        <v>0.157</v>
      </c>
      <c r="P13" s="96"/>
      <c r="Q13" s="56"/>
      <c r="R13" s="83" t="s">
        <v>115</v>
      </c>
      <c r="S13" s="75">
        <f>IF(K13="g/L",L13/10,L13)</f>
        <v>0.16399999999999998</v>
      </c>
      <c r="T13" s="75">
        <f>IF(N13="g/L",O13/10,O13)</f>
        <v>0.157</v>
      </c>
      <c r="U13" s="86" t="s">
        <v>44</v>
      </c>
      <c r="V13" s="87" t="s">
        <v>116</v>
      </c>
      <c r="W13" s="97"/>
      <c r="X13" s="98"/>
      <c r="Y13" s="394">
        <f>((A58*Y68)/(S13*10))-Y68</f>
        <v>42.902470731707325</v>
      </c>
      <c r="Z13" s="77" t="s">
        <v>321</v>
      </c>
      <c r="AA13" s="33"/>
      <c r="AB13" s="33"/>
      <c r="AC13" s="33"/>
      <c r="AD13" s="78"/>
      <c r="AG13" s="34"/>
      <c r="AH13" s="61" t="s">
        <v>117</v>
      </c>
      <c r="AI13" s="99" t="s">
        <v>118</v>
      </c>
      <c r="AJ13" s="100">
        <f>MIN(AN13:BF13)</f>
        <v>0.14199999999999999</v>
      </c>
      <c r="AK13" s="101">
        <f>MAX(AN13:BF13)</f>
        <v>0.4</v>
      </c>
      <c r="AL13" s="101">
        <f>AVERAGE(AN13:BF13)</f>
        <v>0.23088888888888887</v>
      </c>
      <c r="AM13" s="64">
        <f>STDEV(AN13:BF13)/AL13</f>
        <v>0.30578138317273168</v>
      </c>
      <c r="AN13" s="35">
        <v>0.157</v>
      </c>
      <c r="AO13" s="35">
        <v>0.154</v>
      </c>
      <c r="AP13" s="35">
        <f>2.18/10</f>
        <v>0.21800000000000003</v>
      </c>
      <c r="AQ13" s="66">
        <f>1.99/10</f>
        <v>0.19900000000000001</v>
      </c>
      <c r="AR13" s="35">
        <f>1.88/10</f>
        <v>0.188</v>
      </c>
      <c r="AS13" s="35">
        <f>3.26/10</f>
        <v>0.32599999999999996</v>
      </c>
      <c r="AT13" s="35">
        <v>0.32600000000000001</v>
      </c>
      <c r="AU13" s="35">
        <v>0.4</v>
      </c>
      <c r="AV13" s="35"/>
      <c r="AW13" s="35">
        <v>0.19700000000000001</v>
      </c>
      <c r="AX13" s="102">
        <v>0.23300000000000001</v>
      </c>
      <c r="AY13" s="102">
        <v>0.22700000000000001</v>
      </c>
      <c r="AZ13" s="102">
        <v>0.28599999999999998</v>
      </c>
      <c r="BA13" s="102">
        <v>0.254</v>
      </c>
      <c r="BB13" s="102">
        <v>0.14199999999999999</v>
      </c>
      <c r="BC13" s="102">
        <v>0.16700000000000001</v>
      </c>
      <c r="BD13" s="103">
        <v>0.19</v>
      </c>
      <c r="BE13" s="104">
        <v>0.29499999999999998</v>
      </c>
      <c r="BF13" s="104">
        <v>0.19700000000000001</v>
      </c>
      <c r="BG13" s="27"/>
      <c r="BH13" s="35"/>
      <c r="BI13" s="35">
        <f>1.64/10</f>
        <v>0.16399999999999998</v>
      </c>
      <c r="BJ13" s="35">
        <f>2.39/10</f>
        <v>0.23900000000000002</v>
      </c>
      <c r="BK13" s="35"/>
      <c r="BL13"/>
      <c r="BM13"/>
      <c r="BN13"/>
      <c r="BO13"/>
      <c r="BP13"/>
      <c r="BQ13"/>
      <c r="BR13"/>
      <c r="BS13"/>
      <c r="BT13"/>
      <c r="BU13"/>
      <c r="BV13"/>
      <c r="BW13"/>
      <c r="BX13"/>
      <c r="BY13"/>
      <c r="BZ13"/>
      <c r="CA13"/>
      <c r="CB13"/>
      <c r="CC13"/>
      <c r="CD13"/>
      <c r="CE13"/>
      <c r="CF13"/>
      <c r="CG13"/>
      <c r="CH13"/>
      <c r="CI13"/>
      <c r="CJ13"/>
      <c r="CK13"/>
    </row>
    <row r="14" spans="1:89" s="8" customFormat="1" ht="20.149999999999999" customHeight="1" x14ac:dyDescent="0.35">
      <c r="A14" s="105" t="s">
        <v>119</v>
      </c>
      <c r="B14" s="105"/>
      <c r="C14" s="16"/>
      <c r="D14" s="16"/>
      <c r="E14" s="16">
        <f>O14*E13</f>
        <v>0.47414000000000001</v>
      </c>
      <c r="F14" s="16"/>
      <c r="I14" s="380"/>
      <c r="J14" s="384" t="str">
        <f t="shared" si="0"/>
        <v>Totalkväve (N)</v>
      </c>
      <c r="K14" s="95" t="s">
        <v>43</v>
      </c>
      <c r="L14" s="95">
        <v>340</v>
      </c>
      <c r="M14" s="53"/>
      <c r="N14" s="80" t="s">
        <v>325</v>
      </c>
      <c r="O14" s="95">
        <v>302</v>
      </c>
      <c r="P14" s="96"/>
      <c r="Q14" s="56"/>
      <c r="R14" s="106" t="s">
        <v>120</v>
      </c>
      <c r="S14" s="84">
        <f>IF(K14="% av TS",L14/100*($S$13*10),L14/1000)</f>
        <v>0.34</v>
      </c>
      <c r="T14" s="84">
        <f>IF(N14="% av TS",O14/100*($T$13*10),O14/1000)</f>
        <v>4.7414000000000005</v>
      </c>
      <c r="U14" s="86" t="s">
        <v>45</v>
      </c>
      <c r="V14" s="87" t="s">
        <v>331</v>
      </c>
      <c r="W14" s="395" t="s">
        <v>333</v>
      </c>
      <c r="X14" s="98"/>
      <c r="Y14" s="77" t="s">
        <v>322</v>
      </c>
      <c r="Z14" s="300"/>
      <c r="AA14" s="33"/>
      <c r="AB14" s="33"/>
      <c r="AC14" s="33"/>
      <c r="AD14" s="78"/>
      <c r="AG14" s="34"/>
      <c r="AH14" s="107" t="s">
        <v>120</v>
      </c>
      <c r="AI14" s="69" t="s">
        <v>45</v>
      </c>
      <c r="AJ14" s="70"/>
      <c r="AK14" s="69"/>
      <c r="AL14" s="69"/>
      <c r="AM14" s="69"/>
      <c r="AN14" s="108">
        <f>(178/100)*(AN13*10)</f>
        <v>2.7946</v>
      </c>
      <c r="AO14" s="108">
        <f>(3000/100)*AO13*10</f>
        <v>46.2</v>
      </c>
      <c r="AP14" s="108"/>
      <c r="AQ14" s="108"/>
      <c r="AR14" s="108"/>
      <c r="AS14" s="108"/>
      <c r="AT14" s="108"/>
      <c r="AU14" s="108">
        <f>700/1000</f>
        <v>0.7</v>
      </c>
      <c r="AV14" s="108"/>
      <c r="AW14" s="108"/>
      <c r="AX14" s="108"/>
      <c r="AY14" s="108"/>
      <c r="AZ14" s="108"/>
      <c r="BA14" s="108"/>
      <c r="BB14" s="108"/>
      <c r="BC14" s="108"/>
      <c r="BD14" s="109"/>
      <c r="BE14" s="110"/>
      <c r="BF14" s="110"/>
      <c r="BG14" s="27"/>
      <c r="BH14" s="108">
        <f>8900/1000</f>
        <v>8.9</v>
      </c>
      <c r="BI14" s="108">
        <f>340/1000</f>
        <v>0.34</v>
      </c>
      <c r="BJ14" s="108">
        <f>3900/1000</f>
        <v>3.9</v>
      </c>
      <c r="BK14" s="108"/>
      <c r="BL14"/>
      <c r="BM14"/>
      <c r="BN14"/>
      <c r="BO14"/>
      <c r="BP14"/>
      <c r="BQ14"/>
      <c r="BR14"/>
      <c r="BS14"/>
      <c r="BT14"/>
      <c r="BU14"/>
      <c r="BV14"/>
      <c r="BW14"/>
      <c r="BX14"/>
      <c r="BY14"/>
      <c r="BZ14"/>
      <c r="CA14"/>
      <c r="CB14"/>
      <c r="CC14"/>
      <c r="CD14"/>
      <c r="CE14"/>
      <c r="CF14"/>
      <c r="CG14"/>
      <c r="CH14"/>
      <c r="CI14"/>
      <c r="CJ14"/>
      <c r="CK14"/>
    </row>
    <row r="15" spans="1:89" s="8" customFormat="1" ht="20.149999999999999" customHeight="1" x14ac:dyDescent="0.35">
      <c r="A15" s="111">
        <v>0.17099863201094392</v>
      </c>
      <c r="B15" s="111"/>
      <c r="C15" s="16">
        <f>A15*44</f>
        <v>7.5239398084815328</v>
      </c>
      <c r="D15" s="16" t="s">
        <v>121</v>
      </c>
      <c r="E15" s="16"/>
      <c r="F15" s="16"/>
      <c r="I15" s="380"/>
      <c r="J15" s="384" t="str">
        <f t="shared" si="0"/>
        <v>NH3/NH4+-kväve (NH-N)</v>
      </c>
      <c r="K15" s="95" t="s">
        <v>43</v>
      </c>
      <c r="L15" s="95">
        <v>270</v>
      </c>
      <c r="M15" s="53"/>
      <c r="N15" s="80" t="s">
        <v>43</v>
      </c>
      <c r="O15" s="95">
        <v>299</v>
      </c>
      <c r="P15" s="96"/>
      <c r="Q15" s="56"/>
      <c r="R15" s="83" t="s">
        <v>316</v>
      </c>
      <c r="S15" s="84">
        <f>IF(K15="% av TS",L15/100*($S$13*10),L15/1000)</f>
        <v>0.27</v>
      </c>
      <c r="T15" s="84">
        <f>IF(N15="% av TS",O15/100*($T$13*10),O15/1000)</f>
        <v>0.29899999999999999</v>
      </c>
      <c r="U15" s="86" t="s">
        <v>45</v>
      </c>
      <c r="V15" s="87" t="s">
        <v>332</v>
      </c>
      <c r="W15" s="395" t="s">
        <v>333</v>
      </c>
      <c r="X15" s="98"/>
      <c r="Y15" s="394">
        <f>((A59*Y68)/(S15))-Y68</f>
        <v>37.588559259259263</v>
      </c>
      <c r="Z15" s="77" t="s">
        <v>321</v>
      </c>
      <c r="AA15" s="409"/>
      <c r="AD15" s="78"/>
      <c r="AG15" s="34"/>
      <c r="AH15" s="107" t="s">
        <v>122</v>
      </c>
      <c r="AI15" s="69" t="s">
        <v>45</v>
      </c>
      <c r="AJ15" s="70"/>
      <c r="AK15" s="69"/>
      <c r="AL15" s="69"/>
      <c r="AM15" s="69"/>
      <c r="AN15" s="108">
        <f>(159/100)*(AN13*10)</f>
        <v>2.4963000000000002</v>
      </c>
      <c r="AO15" s="108">
        <f>(2900/100)*AO13*10</f>
        <v>44.660000000000004</v>
      </c>
      <c r="AP15" s="108"/>
      <c r="AQ15" s="108"/>
      <c r="AR15" s="108"/>
      <c r="AS15" s="108"/>
      <c r="AT15" s="108"/>
      <c r="AU15" s="108">
        <f>540/1000</f>
        <v>0.54</v>
      </c>
      <c r="AV15" s="108"/>
      <c r="AW15" s="108"/>
      <c r="AX15" s="108"/>
      <c r="AY15" s="108"/>
      <c r="AZ15" s="108"/>
      <c r="BA15" s="108"/>
      <c r="BB15" s="108"/>
      <c r="BC15" s="108"/>
      <c r="BD15" s="109"/>
      <c r="BE15" s="110"/>
      <c r="BF15" s="110"/>
      <c r="BG15" s="27"/>
      <c r="BH15" s="108">
        <f>3600/1000</f>
        <v>3.6</v>
      </c>
      <c r="BI15" s="108">
        <f>270/1000</f>
        <v>0.27</v>
      </c>
      <c r="BJ15" s="108">
        <f>3700/1000</f>
        <v>3.7</v>
      </c>
      <c r="BK15" s="108"/>
      <c r="BL15"/>
      <c r="BM15"/>
      <c r="BN15"/>
      <c r="BO15"/>
      <c r="BP15"/>
      <c r="BQ15"/>
      <c r="BR15"/>
      <c r="BS15"/>
      <c r="BT15"/>
      <c r="BU15"/>
      <c r="BV15"/>
      <c r="BW15"/>
      <c r="BX15"/>
      <c r="BY15"/>
      <c r="BZ15"/>
      <c r="CA15"/>
      <c r="CB15"/>
      <c r="CC15"/>
      <c r="CD15"/>
      <c r="CE15"/>
      <c r="CF15"/>
      <c r="CG15"/>
      <c r="CH15"/>
      <c r="CI15"/>
      <c r="CJ15"/>
      <c r="CK15"/>
    </row>
    <row r="16" spans="1:89" s="8" customFormat="1" ht="36" customHeight="1" x14ac:dyDescent="0.35">
      <c r="A16" s="111">
        <v>0.14500683994528046</v>
      </c>
      <c r="B16" s="111"/>
      <c r="C16" s="16">
        <f>A16*44</f>
        <v>6.3803009575923406</v>
      </c>
      <c r="D16" s="16" t="s">
        <v>123</v>
      </c>
      <c r="E16" s="16"/>
      <c r="F16" s="16"/>
      <c r="I16" s="380"/>
      <c r="J16" s="384" t="str">
        <f t="shared" si="0"/>
        <v>Fosfor (P)</v>
      </c>
      <c r="K16" s="95" t="s">
        <v>43</v>
      </c>
      <c r="L16" s="95">
        <v>33</v>
      </c>
      <c r="M16" s="53"/>
      <c r="N16" s="80" t="s">
        <v>48</v>
      </c>
      <c r="O16" s="95">
        <v>21</v>
      </c>
      <c r="P16" s="96"/>
      <c r="Q16" s="56"/>
      <c r="R16" s="113" t="s">
        <v>124</v>
      </c>
      <c r="S16" s="114"/>
      <c r="T16" s="403">
        <f t="shared" ref="T16:T20" si="1">IF(N16="g/kg TS",O16*($T$13/100),O16)</f>
        <v>3.2969999999999999E-2</v>
      </c>
      <c r="U16" s="86" t="s">
        <v>45</v>
      </c>
      <c r="V16" s="87" t="s">
        <v>125</v>
      </c>
      <c r="W16" s="97"/>
      <c r="X16" s="98"/>
      <c r="Y16" s="485" t="s">
        <v>351</v>
      </c>
      <c r="Z16" s="485"/>
      <c r="AA16" s="409"/>
      <c r="AB16" s="33"/>
      <c r="AC16" s="33"/>
      <c r="AD16" s="78"/>
      <c r="AG16" s="34"/>
      <c r="AH16" s="16"/>
      <c r="AI16" s="16"/>
      <c r="AJ16" s="79"/>
      <c r="AK16" s="6"/>
      <c r="AL16" s="6"/>
      <c r="AM16" s="6"/>
      <c r="AN16" s="115">
        <f>AN15/AN14</f>
        <v>0.89325842696629221</v>
      </c>
      <c r="AO16" s="115">
        <f>AO15/AO14</f>
        <v>0.96666666666666667</v>
      </c>
      <c r="AP16" s="115" t="e">
        <f t="shared" ref="AP16:BF16" si="2">AP15/AP14</f>
        <v>#DIV/0!</v>
      </c>
      <c r="AQ16" s="115" t="e">
        <f t="shared" si="2"/>
        <v>#DIV/0!</v>
      </c>
      <c r="AR16" s="115" t="e">
        <f t="shared" si="2"/>
        <v>#DIV/0!</v>
      </c>
      <c r="AS16" s="115" t="e">
        <f t="shared" si="2"/>
        <v>#DIV/0!</v>
      </c>
      <c r="AT16" s="115" t="e">
        <f t="shared" si="2"/>
        <v>#DIV/0!</v>
      </c>
      <c r="AU16" s="115">
        <f t="shared" si="2"/>
        <v>0.77142857142857157</v>
      </c>
      <c r="AV16" s="115" t="e">
        <f t="shared" si="2"/>
        <v>#DIV/0!</v>
      </c>
      <c r="AW16" s="115" t="e">
        <f t="shared" si="2"/>
        <v>#DIV/0!</v>
      </c>
      <c r="AX16" s="115" t="e">
        <f t="shared" si="2"/>
        <v>#DIV/0!</v>
      </c>
      <c r="AY16" s="115" t="e">
        <f t="shared" si="2"/>
        <v>#DIV/0!</v>
      </c>
      <c r="AZ16" s="115" t="e">
        <f t="shared" si="2"/>
        <v>#DIV/0!</v>
      </c>
      <c r="BA16" s="115" t="e">
        <f t="shared" si="2"/>
        <v>#DIV/0!</v>
      </c>
      <c r="BB16" s="115" t="e">
        <f t="shared" si="2"/>
        <v>#DIV/0!</v>
      </c>
      <c r="BC16" s="115" t="e">
        <f t="shared" si="2"/>
        <v>#DIV/0!</v>
      </c>
      <c r="BD16" s="116" t="e">
        <f t="shared" si="2"/>
        <v>#DIV/0!</v>
      </c>
      <c r="BE16" s="117" t="e">
        <f t="shared" si="2"/>
        <v>#DIV/0!</v>
      </c>
      <c r="BF16" s="117" t="e">
        <f t="shared" si="2"/>
        <v>#DIV/0!</v>
      </c>
      <c r="BG16" s="27"/>
      <c r="BH16" s="115">
        <f>BH15/BH14</f>
        <v>0.4044943820224719</v>
      </c>
      <c r="BI16" s="115">
        <f>BI15/BI14</f>
        <v>0.79411764705882348</v>
      </c>
      <c r="BJ16" s="115">
        <f>BJ15/BJ14</f>
        <v>0.94871794871794879</v>
      </c>
      <c r="BK16" s="115" t="e">
        <f>BK15/BK14</f>
        <v>#DIV/0!</v>
      </c>
      <c r="BL16"/>
      <c r="BM16"/>
      <c r="BN16"/>
      <c r="BO16"/>
      <c r="BP16"/>
      <c r="BQ16"/>
      <c r="BR16"/>
      <c r="BS16"/>
      <c r="BT16"/>
      <c r="BU16"/>
      <c r="BV16"/>
      <c r="BW16"/>
      <c r="BX16"/>
      <c r="BY16"/>
      <c r="BZ16"/>
      <c r="CA16"/>
      <c r="CB16"/>
      <c r="CC16"/>
      <c r="CD16"/>
      <c r="CE16"/>
      <c r="CF16"/>
      <c r="CG16"/>
      <c r="CH16"/>
      <c r="CI16"/>
      <c r="CJ16"/>
      <c r="CK16"/>
    </row>
    <row r="17" spans="1:89" s="8" customFormat="1" ht="20.149999999999999" customHeight="1" x14ac:dyDescent="0.35">
      <c r="A17" s="111">
        <v>1.9151846785225718E-2</v>
      </c>
      <c r="B17" s="111"/>
      <c r="C17" s="16"/>
      <c r="D17" s="16" t="s">
        <v>126</v>
      </c>
      <c r="E17" s="16"/>
      <c r="F17" s="16"/>
      <c r="I17" s="380"/>
      <c r="J17" s="384" t="str">
        <f t="shared" si="0"/>
        <v>Kalium (K)</v>
      </c>
      <c r="K17" s="112"/>
      <c r="L17" s="112"/>
      <c r="M17" s="53"/>
      <c r="N17" s="80" t="s">
        <v>66</v>
      </c>
      <c r="O17" s="95">
        <v>98</v>
      </c>
      <c r="P17" s="96"/>
      <c r="Q17" s="56"/>
      <c r="R17" s="113" t="s">
        <v>127</v>
      </c>
      <c r="S17" s="114"/>
      <c r="T17" s="403">
        <f t="shared" si="1"/>
        <v>98</v>
      </c>
      <c r="U17" s="86" t="s">
        <v>45</v>
      </c>
      <c r="V17" s="87" t="s">
        <v>128</v>
      </c>
      <c r="W17" s="97"/>
      <c r="X17" s="98"/>
      <c r="Y17" s="394">
        <f>(T14/(S14+T9*0.46))*100</f>
        <v>95.979757085020239</v>
      </c>
      <c r="Z17" s="77" t="s">
        <v>44</v>
      </c>
      <c r="AA17" s="33"/>
      <c r="AB17" s="33"/>
      <c r="AC17" s="33"/>
      <c r="AD17" s="78"/>
      <c r="AG17" s="34"/>
      <c r="AH17" s="61" t="s">
        <v>124</v>
      </c>
      <c r="AI17" s="69" t="s">
        <v>45</v>
      </c>
      <c r="AJ17" s="62">
        <f>MIN(AN17:BF17)</f>
        <v>1.8459999999999997E-2</v>
      </c>
      <c r="AK17" s="63">
        <f>MAX(AN17:BF17)</f>
        <v>0.24189999999999998</v>
      </c>
      <c r="AL17" s="63">
        <f>AVERAGE(AN17:BF17)</f>
        <v>7.0276666666666668E-2</v>
      </c>
      <c r="AM17" s="64">
        <f>STDEV(AN17:BF17)/AL17</f>
        <v>0.84867523800747269</v>
      </c>
      <c r="AN17" s="102">
        <f>21*(AN13/100)</f>
        <v>3.2969999999999999E-2</v>
      </c>
      <c r="AO17" s="35">
        <f>22*(AO13/100)</f>
        <v>3.388E-2</v>
      </c>
      <c r="AP17" s="35"/>
      <c r="AQ17" s="35"/>
      <c r="AR17" s="35"/>
      <c r="AS17" s="35"/>
      <c r="AT17" s="35"/>
      <c r="AU17" s="35">
        <f>(22000/1000)*AU13/100</f>
        <v>8.8000000000000009E-2</v>
      </c>
      <c r="AV17" s="35"/>
      <c r="AW17" s="35">
        <f>25*AW13/100</f>
        <v>4.9249999999999995E-2</v>
      </c>
      <c r="AX17" s="102"/>
      <c r="AY17" s="102">
        <f>21*AY13/100</f>
        <v>4.7670000000000004E-2</v>
      </c>
      <c r="AZ17" s="102">
        <f>28*AZ13/100</f>
        <v>8.0079999999999985E-2</v>
      </c>
      <c r="BA17" s="102">
        <f>42*BA13/100</f>
        <v>0.10668</v>
      </c>
      <c r="BB17" s="102">
        <f>13*BB13/100</f>
        <v>1.8459999999999997E-2</v>
      </c>
      <c r="BC17" s="102">
        <f>24*BC13/100</f>
        <v>4.0079999999999998E-2</v>
      </c>
      <c r="BD17" s="103">
        <f>29*BD13/100</f>
        <v>5.5099999999999996E-2</v>
      </c>
      <c r="BE17" s="102">
        <f>82*BE13/100</f>
        <v>0.24189999999999998</v>
      </c>
      <c r="BF17" s="102">
        <f>25*BF13/100</f>
        <v>4.9249999999999995E-2</v>
      </c>
      <c r="BG17" s="27"/>
      <c r="BH17" s="35">
        <f>54/1000</f>
        <v>5.3999999999999999E-2</v>
      </c>
      <c r="BI17" s="35">
        <f>33/1000</f>
        <v>3.3000000000000002E-2</v>
      </c>
      <c r="BJ17" s="35">
        <f>4756/1000</f>
        <v>4.7560000000000002</v>
      </c>
      <c r="BK17" s="35"/>
      <c r="BL17"/>
      <c r="BM17"/>
      <c r="BN17"/>
      <c r="BO17"/>
      <c r="BP17"/>
      <c r="BQ17"/>
      <c r="BR17"/>
      <c r="BS17"/>
      <c r="BT17"/>
      <c r="BU17"/>
      <c r="BV17"/>
      <c r="BW17"/>
      <c r="BX17"/>
      <c r="BY17"/>
      <c r="BZ17"/>
      <c r="CA17"/>
      <c r="CB17"/>
      <c r="CC17"/>
      <c r="CD17"/>
      <c r="CE17"/>
      <c r="CF17"/>
      <c r="CG17"/>
      <c r="CH17"/>
      <c r="CI17"/>
      <c r="CJ17"/>
      <c r="CK17"/>
    </row>
    <row r="18" spans="1:89" s="8" customFormat="1" ht="20.149999999999999" customHeight="1" x14ac:dyDescent="0.35">
      <c r="A18" s="111">
        <v>4.5143638850889192E-2</v>
      </c>
      <c r="B18" s="111"/>
      <c r="C18" s="16"/>
      <c r="D18" s="16"/>
      <c r="E18" s="16"/>
      <c r="F18" s="16"/>
      <c r="I18" s="380"/>
      <c r="J18" s="384" t="str">
        <f t="shared" si="0"/>
        <v>Svavel (S)</v>
      </c>
      <c r="K18" s="112"/>
      <c r="L18" s="112"/>
      <c r="M18" s="53"/>
      <c r="N18" s="80" t="s">
        <v>66</v>
      </c>
      <c r="O18" s="95"/>
      <c r="P18" s="96"/>
      <c r="Q18" s="56"/>
      <c r="R18" s="113" t="s">
        <v>129</v>
      </c>
      <c r="S18" s="114"/>
      <c r="T18" s="403">
        <f t="shared" si="1"/>
        <v>0</v>
      </c>
      <c r="U18" s="86" t="s">
        <v>45</v>
      </c>
      <c r="V18" s="87"/>
      <c r="W18" s="97"/>
      <c r="X18" s="98"/>
      <c r="Y18" s="98"/>
      <c r="Z18" s="98"/>
      <c r="AA18" s="33"/>
      <c r="AB18" s="33"/>
      <c r="AC18" s="33"/>
      <c r="AD18" s="78"/>
      <c r="AG18" s="34"/>
      <c r="AH18" s="61" t="s">
        <v>127</v>
      </c>
      <c r="AI18" s="69" t="s">
        <v>45</v>
      </c>
      <c r="AJ18" s="62">
        <f>MIN(AN18:BF18)</f>
        <v>0.15386</v>
      </c>
      <c r="AK18" s="63">
        <f>MAX(AN18:BF18)</f>
        <v>0.1694</v>
      </c>
      <c r="AL18" s="63">
        <f>AVERAGE(AN18:BF18)</f>
        <v>0.16163</v>
      </c>
      <c r="AM18" s="64">
        <f>STDEV(AN18:BF18)/AL18</f>
        <v>6.7985147433267015E-2</v>
      </c>
      <c r="AN18" s="35">
        <f>98*(AN13/100)</f>
        <v>0.15386</v>
      </c>
      <c r="AO18" s="35">
        <f>110*(AO13/100)</f>
        <v>0.1694</v>
      </c>
      <c r="AP18" s="35"/>
      <c r="AQ18" s="35"/>
      <c r="AR18" s="35"/>
      <c r="AS18" s="35"/>
      <c r="AT18" s="35"/>
      <c r="AU18" s="35"/>
      <c r="AV18" s="35"/>
      <c r="AW18" s="35"/>
      <c r="AX18" s="35"/>
      <c r="AY18" s="35"/>
      <c r="AZ18" s="35"/>
      <c r="BA18" s="35"/>
      <c r="BB18" s="35"/>
      <c r="BC18" s="35"/>
      <c r="BD18" s="52"/>
      <c r="BE18" s="27"/>
      <c r="BF18" s="27"/>
      <c r="BG18" s="27"/>
      <c r="BH18" s="35">
        <f>160/1000</f>
        <v>0.16</v>
      </c>
      <c r="BI18" s="35">
        <f>88/1000</f>
        <v>8.7999999999999995E-2</v>
      </c>
      <c r="BJ18" s="35"/>
      <c r="BK18" s="35"/>
      <c r="BL18" s="23"/>
      <c r="BM18" s="23"/>
      <c r="BN18" s="23"/>
      <c r="BO18" s="23"/>
      <c r="BP18" s="23"/>
      <c r="BQ18" s="23"/>
      <c r="BR18" s="23"/>
      <c r="BS18" s="23"/>
      <c r="BT18" s="23"/>
      <c r="BU18" s="23"/>
      <c r="BV18" s="23"/>
      <c r="BW18" s="23"/>
      <c r="BX18" s="23"/>
      <c r="BY18" s="23"/>
      <c r="BZ18" s="23"/>
      <c r="CA18" s="23"/>
      <c r="CB18" s="23"/>
      <c r="CC18" s="23"/>
      <c r="CD18" s="23"/>
      <c r="CE18" s="23"/>
      <c r="CF18" s="23"/>
      <c r="CG18" s="23"/>
      <c r="CH18" s="23"/>
      <c r="CI18" s="23"/>
      <c r="CJ18" s="23"/>
      <c r="CK18" s="23"/>
    </row>
    <row r="19" spans="1:89" s="8" customFormat="1" ht="20.149999999999999" customHeight="1" x14ac:dyDescent="0.35">
      <c r="A19" s="111">
        <v>1.1846785225718194E-2</v>
      </c>
      <c r="B19" s="111"/>
      <c r="C19" s="27"/>
      <c r="D19" s="16"/>
      <c r="E19" s="16"/>
      <c r="F19" s="16"/>
      <c r="I19" s="380"/>
      <c r="J19" s="384" t="str">
        <f t="shared" si="0"/>
        <v>Kalcium (Ca)</v>
      </c>
      <c r="K19" s="112"/>
      <c r="L19" s="112"/>
      <c r="M19" s="53"/>
      <c r="N19" s="80" t="s">
        <v>48</v>
      </c>
      <c r="O19" s="95">
        <v>15</v>
      </c>
      <c r="P19" s="96"/>
      <c r="Q19" s="56"/>
      <c r="R19" s="118" t="s">
        <v>130</v>
      </c>
      <c r="S19" s="114"/>
      <c r="T19" s="403">
        <f t="shared" si="1"/>
        <v>2.3550000000000001E-2</v>
      </c>
      <c r="U19" s="86" t="s">
        <v>45</v>
      </c>
      <c r="V19" s="87" t="s">
        <v>131</v>
      </c>
      <c r="W19" s="97"/>
      <c r="X19" s="98"/>
      <c r="Y19" s="98"/>
      <c r="Z19" s="98"/>
      <c r="AA19" s="33"/>
      <c r="AB19" s="33"/>
      <c r="AC19" s="33"/>
      <c r="AD19" s="78"/>
      <c r="AF19" s="26"/>
      <c r="AG19" s="34"/>
      <c r="AH19" s="61" t="s">
        <v>129</v>
      </c>
      <c r="AI19" s="69"/>
      <c r="AJ19" s="62">
        <f>MIN(AN19:BF19)</f>
        <v>0</v>
      </c>
      <c r="AK19" s="63">
        <f>MAX(AN19:BF19)</f>
        <v>0</v>
      </c>
      <c r="AL19" s="63" t="e">
        <f>AVERAGE(AN19:BF19)</f>
        <v>#DIV/0!</v>
      </c>
      <c r="AM19" s="64" t="e">
        <f>STDEV(AN19:BF19)/AL19</f>
        <v>#DIV/0!</v>
      </c>
      <c r="AN19" s="35"/>
      <c r="AO19" s="35"/>
      <c r="AP19" s="35"/>
      <c r="AQ19" s="35"/>
      <c r="AR19" s="35"/>
      <c r="AS19" s="35"/>
      <c r="AT19" s="35"/>
      <c r="AU19" s="35"/>
      <c r="AV19" s="35"/>
      <c r="AW19" s="35"/>
      <c r="AX19" s="35"/>
      <c r="AY19" s="35"/>
      <c r="AZ19" s="35"/>
      <c r="BA19" s="35"/>
      <c r="BB19" s="35"/>
      <c r="BC19" s="35"/>
      <c r="BD19" s="52"/>
      <c r="BE19" s="27"/>
      <c r="BF19" s="27"/>
      <c r="BG19" s="27"/>
      <c r="BH19" s="35"/>
      <c r="BI19" s="35"/>
      <c r="BJ19" s="35"/>
      <c r="BK19" s="35"/>
      <c r="BL19" s="23"/>
      <c r="BM19" s="23"/>
      <c r="BN19" s="23"/>
      <c r="BO19" s="23"/>
      <c r="BP19" s="23"/>
      <c r="BQ19" s="23"/>
      <c r="BR19" s="23"/>
      <c r="BS19" s="23"/>
      <c r="BT19" s="23"/>
      <c r="BU19" s="23"/>
      <c r="BV19" s="23"/>
      <c r="BW19" s="23"/>
      <c r="BX19" s="23"/>
      <c r="BY19" s="23"/>
      <c r="BZ19" s="23"/>
      <c r="CA19" s="23"/>
      <c r="CB19" s="23"/>
      <c r="CC19" s="23"/>
      <c r="CD19" s="23"/>
      <c r="CE19" s="23"/>
      <c r="CF19" s="23"/>
      <c r="CG19" s="23"/>
      <c r="CH19" s="23"/>
      <c r="CI19" s="23"/>
      <c r="CJ19" s="23"/>
      <c r="CK19" s="23"/>
    </row>
    <row r="20" spans="1:89" s="8" customFormat="1" ht="21.75" customHeight="1" x14ac:dyDescent="0.35">
      <c r="A20" s="43"/>
      <c r="B20" s="43"/>
      <c r="C20" s="43"/>
      <c r="D20" s="43"/>
      <c r="E20" s="43"/>
      <c r="F20" s="43"/>
      <c r="G20" s="198"/>
      <c r="H20" s="198"/>
      <c r="I20" s="380"/>
      <c r="J20" s="384" t="str">
        <f t="shared" si="0"/>
        <v>Magnesium (Mg)</v>
      </c>
      <c r="K20" s="112"/>
      <c r="L20" s="112"/>
      <c r="M20" s="53"/>
      <c r="N20" s="80" t="s">
        <v>48</v>
      </c>
      <c r="O20" s="95">
        <v>1.3</v>
      </c>
      <c r="P20" s="96"/>
      <c r="Q20" s="56"/>
      <c r="R20" s="118" t="s">
        <v>132</v>
      </c>
      <c r="S20" s="114"/>
      <c r="T20" s="403">
        <f t="shared" si="1"/>
        <v>2.0410000000000003E-3</v>
      </c>
      <c r="U20" s="86" t="s">
        <v>45</v>
      </c>
      <c r="V20" s="87" t="s">
        <v>133</v>
      </c>
      <c r="W20" s="97"/>
      <c r="X20" s="98"/>
      <c r="Y20" s="98"/>
      <c r="Z20" s="98"/>
      <c r="AF20" s="26"/>
      <c r="AG20" s="34"/>
      <c r="AH20" s="61" t="s">
        <v>130</v>
      </c>
      <c r="AI20" s="69" t="s">
        <v>45</v>
      </c>
      <c r="AJ20" s="62">
        <f>MIN(AN20:BF20)</f>
        <v>1.0626E-2</v>
      </c>
      <c r="AK20" s="63">
        <f>MAX(AN20:BF20)</f>
        <v>0.23549999999999999</v>
      </c>
      <c r="AL20" s="63">
        <f>AVERAGE(AN20:BF20)</f>
        <v>0.12306299999999999</v>
      </c>
      <c r="AM20" s="64">
        <f>STDEV(AN20:BF20)/AL20</f>
        <v>1.2921018528115169</v>
      </c>
      <c r="AN20" s="35">
        <f>15*AN13/10</f>
        <v>0.23549999999999999</v>
      </c>
      <c r="AO20" s="35">
        <f>6.9*AO13/100</f>
        <v>1.0626E-2</v>
      </c>
      <c r="AP20" s="35"/>
      <c r="AQ20" s="35"/>
      <c r="AR20" s="35"/>
      <c r="AS20" s="35"/>
      <c r="AT20" s="35"/>
      <c r="AU20" s="35"/>
      <c r="AV20" s="35"/>
      <c r="AW20" s="35"/>
      <c r="AX20" s="35"/>
      <c r="AY20" s="35"/>
      <c r="AZ20" s="35"/>
      <c r="BA20" s="35"/>
      <c r="BB20" s="35"/>
      <c r="BC20" s="35"/>
      <c r="BD20" s="52"/>
      <c r="BE20" s="27"/>
      <c r="BF20" s="27"/>
      <c r="BG20" s="27"/>
      <c r="BH20" s="35">
        <f>30/1000</f>
        <v>0.03</v>
      </c>
      <c r="BI20" s="35"/>
      <c r="BJ20" s="35"/>
      <c r="BK20" s="35"/>
      <c r="BL20" s="23"/>
      <c r="BM20" s="23"/>
      <c r="BN20" s="23"/>
      <c r="BO20" s="23"/>
      <c r="BP20" s="23"/>
      <c r="BQ20" s="23"/>
      <c r="BR20" s="23"/>
      <c r="BS20" s="23"/>
      <c r="BT20" s="23"/>
      <c r="BU20" s="23"/>
      <c r="BV20" s="23"/>
      <c r="BW20" s="23"/>
      <c r="BX20" s="23"/>
      <c r="BY20" s="23"/>
      <c r="BZ20" s="23"/>
      <c r="CA20" s="23"/>
      <c r="CB20" s="23"/>
      <c r="CC20" s="23"/>
      <c r="CD20" s="23"/>
      <c r="CE20" s="23"/>
      <c r="CF20" s="23"/>
      <c r="CG20" s="23"/>
      <c r="CH20" s="23"/>
      <c r="CI20" s="23"/>
      <c r="CJ20" s="23"/>
      <c r="CK20" s="23"/>
    </row>
    <row r="21" spans="1:89" s="8" customFormat="1" ht="14.25" customHeight="1" x14ac:dyDescent="0.35">
      <c r="A21" s="43"/>
      <c r="B21" s="43"/>
      <c r="C21" s="43"/>
      <c r="D21" s="43"/>
      <c r="E21" s="43"/>
      <c r="F21" s="43"/>
      <c r="G21" s="198"/>
      <c r="H21" s="198"/>
      <c r="I21" s="380"/>
      <c r="J21" s="384"/>
      <c r="K21" s="112"/>
      <c r="L21" s="112"/>
      <c r="M21" s="53"/>
      <c r="N21" s="53"/>
      <c r="O21" s="112"/>
      <c r="P21" s="96"/>
      <c r="Q21" s="56"/>
      <c r="R21" s="15"/>
      <c r="S21" s="15"/>
      <c r="T21" s="15"/>
      <c r="U21" s="15"/>
      <c r="AF21" s="26"/>
      <c r="AG21" s="34"/>
      <c r="AH21" s="61" t="s">
        <v>132</v>
      </c>
      <c r="AI21" s="69" t="s">
        <v>45</v>
      </c>
      <c r="AJ21" s="62">
        <f>MIN(AN21:BF21)</f>
        <v>8.5000000000000006E-2</v>
      </c>
      <c r="AK21" s="63">
        <f>MAX(AN21:BF21)</f>
        <v>0.13</v>
      </c>
      <c r="AL21" s="63">
        <f>AVERAGE(AN21:BF21)</f>
        <v>0.10750000000000001</v>
      </c>
      <c r="AM21" s="64">
        <f>STDEV(AN21:BF21)/AL21</f>
        <v>0.29599818747343837</v>
      </c>
      <c r="AN21" s="35">
        <f>1.3*10/100</f>
        <v>0.13</v>
      </c>
      <c r="AO21" s="35">
        <f>0.85*10/100</f>
        <v>8.5000000000000006E-2</v>
      </c>
      <c r="AP21" s="35"/>
      <c r="AQ21" s="35"/>
      <c r="AR21" s="35"/>
      <c r="AS21" s="35"/>
      <c r="AT21" s="35"/>
      <c r="AU21" s="35"/>
      <c r="AV21" s="35"/>
      <c r="AW21" s="35"/>
      <c r="AX21" s="35"/>
      <c r="AY21" s="35"/>
      <c r="AZ21" s="35"/>
      <c r="BA21" s="35"/>
      <c r="BB21" s="35"/>
      <c r="BC21" s="35"/>
      <c r="BD21" s="52"/>
      <c r="BE21" s="27"/>
      <c r="BF21" s="27"/>
      <c r="BG21" s="27"/>
      <c r="BH21" s="35">
        <f>1.8/1000</f>
        <v>1.8E-3</v>
      </c>
      <c r="BI21" s="35"/>
      <c r="BJ21" s="35"/>
      <c r="BK21" s="35"/>
      <c r="BL21" s="23"/>
      <c r="BM21" s="23"/>
      <c r="BN21" s="23"/>
      <c r="BO21" s="23"/>
      <c r="BP21" s="23"/>
      <c r="BQ21" s="23"/>
      <c r="BR21" s="23"/>
      <c r="BS21" s="23"/>
      <c r="BT21" s="23"/>
      <c r="BU21" s="23"/>
      <c r="BV21" s="23"/>
      <c r="BW21" s="23"/>
      <c r="BX21" s="23"/>
      <c r="BY21" s="23"/>
      <c r="BZ21" s="23"/>
      <c r="CA21" s="23"/>
      <c r="CB21" s="23"/>
      <c r="CC21" s="23"/>
      <c r="CD21" s="23"/>
      <c r="CE21" s="23"/>
      <c r="CF21" s="23"/>
      <c r="CG21" s="23"/>
      <c r="CH21" s="23"/>
      <c r="CI21" s="23"/>
      <c r="CJ21" s="23"/>
      <c r="CK21" s="23"/>
    </row>
    <row r="22" spans="1:89" s="8" customFormat="1" ht="26.25" customHeight="1" x14ac:dyDescent="0.45">
      <c r="A22" s="43"/>
      <c r="B22" s="43"/>
      <c r="C22" s="43"/>
      <c r="D22" s="43"/>
      <c r="E22" s="43"/>
      <c r="F22" s="43"/>
      <c r="G22" s="198"/>
      <c r="H22" s="198"/>
      <c r="I22" s="380"/>
      <c r="J22" s="384"/>
      <c r="K22" s="112"/>
      <c r="L22" s="112"/>
      <c r="M22" s="53"/>
      <c r="N22" s="53"/>
      <c r="O22" s="112"/>
      <c r="P22" s="96"/>
      <c r="Q22" s="56"/>
      <c r="R22" s="74" t="s">
        <v>134</v>
      </c>
      <c r="S22" s="75" t="s">
        <v>104</v>
      </c>
      <c r="T22" s="120" t="s">
        <v>105</v>
      </c>
      <c r="U22" s="121"/>
      <c r="V22" s="122"/>
      <c r="W22" s="97" t="s">
        <v>135</v>
      </c>
      <c r="X22" s="98"/>
      <c r="Y22" s="90" t="s">
        <v>141</v>
      </c>
      <c r="Z22" s="91"/>
      <c r="AA22" s="123"/>
      <c r="AB22" s="123"/>
      <c r="AC22" s="123"/>
      <c r="AD22" s="78"/>
      <c r="AF22" s="26"/>
      <c r="AG22" s="34"/>
      <c r="AH22" s="48" t="s">
        <v>136</v>
      </c>
      <c r="AI22" s="124"/>
      <c r="AJ22" s="125"/>
      <c r="AK22" s="126"/>
      <c r="AL22" s="126"/>
      <c r="AM22" s="126"/>
      <c r="AN22" s="35"/>
      <c r="AO22" s="35"/>
      <c r="AP22" s="35"/>
      <c r="AQ22" s="35"/>
      <c r="AR22" s="35"/>
      <c r="AS22" s="35"/>
      <c r="AT22" s="35"/>
      <c r="AU22" s="35"/>
      <c r="AV22" s="35"/>
      <c r="AW22" s="35"/>
      <c r="AX22" s="35"/>
      <c r="AY22" s="35"/>
      <c r="AZ22" s="35"/>
      <c r="BA22" s="35"/>
      <c r="BB22" s="35"/>
      <c r="BC22" s="35"/>
      <c r="BD22" s="52"/>
      <c r="BE22" s="27"/>
      <c r="BF22" s="27"/>
      <c r="BG22" s="27"/>
      <c r="BH22" s="35"/>
      <c r="BI22" s="35"/>
      <c r="BJ22" s="35"/>
      <c r="BK22" s="35"/>
      <c r="BL22"/>
      <c r="BM22"/>
      <c r="BN22"/>
      <c r="BO22"/>
      <c r="BP22"/>
      <c r="BQ22"/>
      <c r="BR22"/>
      <c r="BS22"/>
      <c r="BT22"/>
      <c r="BU22"/>
      <c r="BV22"/>
      <c r="BW22"/>
      <c r="BX22"/>
      <c r="BY22"/>
      <c r="BZ22"/>
      <c r="CA22"/>
      <c r="CB22"/>
      <c r="CC22"/>
      <c r="CD22"/>
      <c r="CE22"/>
      <c r="CF22"/>
      <c r="CG22"/>
      <c r="CH22"/>
      <c r="CI22"/>
      <c r="CJ22"/>
      <c r="CK22"/>
    </row>
    <row r="23" spans="1:89" s="8" customFormat="1" ht="20.149999999999999" customHeight="1" x14ac:dyDescent="0.35">
      <c r="A23" s="43"/>
      <c r="B23" s="43"/>
      <c r="C23" s="43"/>
      <c r="D23" s="43"/>
      <c r="E23" s="43"/>
      <c r="F23" s="43"/>
      <c r="G23" s="198"/>
      <c r="H23" s="198"/>
      <c r="I23" s="380"/>
      <c r="J23" s="384" t="str">
        <f t="shared" si="0"/>
        <v>Salmonella</v>
      </c>
      <c r="K23" s="95" t="s">
        <v>86</v>
      </c>
      <c r="L23" s="95">
        <v>0</v>
      </c>
      <c r="M23" s="53"/>
      <c r="N23" s="80" t="s">
        <v>324</v>
      </c>
      <c r="O23" s="95">
        <v>0</v>
      </c>
      <c r="P23" s="96"/>
      <c r="Q23" s="56"/>
      <c r="R23" s="83" t="s">
        <v>137</v>
      </c>
      <c r="S23" s="84" t="str">
        <f>IF(L23=0,"OK!","")</f>
        <v>OK!</v>
      </c>
      <c r="T23" s="84" t="str">
        <f>IF(O23=0,"OK!","!")</f>
        <v>OK!</v>
      </c>
      <c r="U23" s="86" t="s">
        <v>138</v>
      </c>
      <c r="V23" s="87" t="s">
        <v>139</v>
      </c>
      <c r="W23" s="395" t="s">
        <v>140</v>
      </c>
      <c r="X23" s="128"/>
      <c r="Y23" s="393">
        <f>T24-S24</f>
        <v>-5.3802112417116064</v>
      </c>
      <c r="Z23" s="77"/>
      <c r="AA23" s="33"/>
      <c r="AB23" s="33"/>
      <c r="AC23" s="33"/>
      <c r="AD23" s="78"/>
      <c r="AF23" s="26"/>
      <c r="AG23" s="34"/>
      <c r="AH23" s="27" t="s">
        <v>142</v>
      </c>
      <c r="AI23" s="69"/>
      <c r="AJ23" s="70"/>
      <c r="AK23" s="69"/>
      <c r="AL23" s="69"/>
      <c r="AM23" s="69"/>
      <c r="AN23" s="35"/>
      <c r="AO23" s="35"/>
      <c r="AP23" s="35">
        <f>LOG10(6500)</f>
        <v>3.8129133566428557</v>
      </c>
      <c r="AQ23" s="35">
        <f>LOG10(9500)</f>
        <v>3.9777236052888476</v>
      </c>
      <c r="AR23" s="35"/>
      <c r="AS23" s="35"/>
      <c r="AT23" s="35"/>
      <c r="AU23" s="35"/>
      <c r="AV23" s="35"/>
      <c r="AW23" s="35"/>
      <c r="AX23" s="35"/>
      <c r="AY23" s="35"/>
      <c r="AZ23" s="35"/>
      <c r="BA23" s="35"/>
      <c r="BB23" s="35"/>
      <c r="BC23" s="35"/>
      <c r="BD23" s="52"/>
      <c r="BE23" s="27"/>
      <c r="BF23" s="27"/>
      <c r="BG23" s="27"/>
      <c r="BH23" s="35"/>
      <c r="BI23" s="129">
        <f>LOG10(100000/100)</f>
        <v>3</v>
      </c>
      <c r="BJ23" s="35" t="s">
        <v>143</v>
      </c>
      <c r="BK23" s="35"/>
      <c r="BL23"/>
      <c r="BM23"/>
      <c r="BN23"/>
      <c r="BO23"/>
      <c r="BP23"/>
      <c r="BQ23"/>
      <c r="BR23"/>
      <c r="BS23"/>
      <c r="BT23"/>
      <c r="BU23"/>
      <c r="BV23"/>
      <c r="BW23"/>
      <c r="BX23"/>
      <c r="BY23"/>
      <c r="BZ23"/>
      <c r="CA23"/>
      <c r="CB23"/>
      <c r="CC23"/>
      <c r="CD23"/>
      <c r="CE23"/>
      <c r="CF23"/>
      <c r="CG23"/>
      <c r="CH23"/>
      <c r="CI23"/>
      <c r="CJ23"/>
      <c r="CK23"/>
    </row>
    <row r="24" spans="1:89" s="8" customFormat="1" ht="20.149999999999999" customHeight="1" x14ac:dyDescent="0.35">
      <c r="A24" s="43"/>
      <c r="B24" s="43"/>
      <c r="C24" s="43"/>
      <c r="D24" s="43"/>
      <c r="E24" s="43"/>
      <c r="F24" s="43"/>
      <c r="G24" s="198"/>
      <c r="H24" s="198"/>
      <c r="I24" s="380"/>
      <c r="J24" s="384" t="str">
        <f t="shared" si="0"/>
        <v>E. coli</v>
      </c>
      <c r="K24" s="95" t="s">
        <v>46</v>
      </c>
      <c r="L24" s="95">
        <v>2400000</v>
      </c>
      <c r="M24" s="53"/>
      <c r="N24" s="80" t="s">
        <v>46</v>
      </c>
      <c r="O24" s="95">
        <v>10</v>
      </c>
      <c r="P24" s="96"/>
      <c r="Q24" s="56"/>
      <c r="R24" s="83" t="s">
        <v>144</v>
      </c>
      <c r="S24" s="84">
        <f>IF(K24="cfu/100 g",LOG10(L24/100),LOG10(L24))</f>
        <v>4.3802112417116064</v>
      </c>
      <c r="T24" s="84">
        <f>IF(N24="cfu/100 g",LOG10(O24/100),LOG10(O24))</f>
        <v>-1</v>
      </c>
      <c r="U24" s="86" t="s">
        <v>145</v>
      </c>
      <c r="V24" s="130" t="s">
        <v>146</v>
      </c>
      <c r="W24" s="395" t="s">
        <v>147</v>
      </c>
      <c r="X24" s="128"/>
      <c r="Y24" s="119"/>
      <c r="Z24" s="119"/>
      <c r="AA24" s="33"/>
      <c r="AB24" s="33"/>
      <c r="AC24" s="33"/>
      <c r="AD24" s="78"/>
      <c r="AF24" s="78"/>
      <c r="AG24" s="34"/>
      <c r="AH24" s="27" t="s">
        <v>148</v>
      </c>
      <c r="AI24" s="69"/>
      <c r="AJ24" s="70"/>
      <c r="AK24" s="69"/>
      <c r="AL24" s="69"/>
      <c r="AM24" s="69"/>
      <c r="AN24" s="35"/>
      <c r="AO24" s="35"/>
      <c r="AP24" s="35"/>
      <c r="AQ24" s="35"/>
      <c r="AR24" s="35"/>
      <c r="AS24" s="35"/>
      <c r="AT24" s="35"/>
      <c r="AU24" s="66"/>
      <c r="AV24" s="35"/>
      <c r="AW24" s="35"/>
      <c r="AX24" s="35"/>
      <c r="AY24" s="35"/>
      <c r="AZ24" s="35"/>
      <c r="BA24" s="35"/>
      <c r="BB24" s="35"/>
      <c r="BC24" s="35"/>
      <c r="BD24" s="52"/>
      <c r="BE24" s="27"/>
      <c r="BF24" s="27"/>
      <c r="BG24" s="27"/>
      <c r="BH24" s="35"/>
      <c r="BI24" s="132">
        <f>LOG10(2400000/100)</f>
        <v>4.3802112417116064</v>
      </c>
      <c r="BJ24" s="35" t="s">
        <v>143</v>
      </c>
      <c r="BK24" s="35"/>
      <c r="BL24"/>
      <c r="BM24"/>
      <c r="BN24"/>
      <c r="BO24"/>
      <c r="BP24"/>
      <c r="BQ24"/>
      <c r="BR24"/>
      <c r="BS24"/>
      <c r="BT24"/>
      <c r="BU24"/>
      <c r="BV24"/>
      <c r="BW24"/>
      <c r="BX24"/>
      <c r="BY24"/>
      <c r="BZ24"/>
      <c r="CA24"/>
      <c r="CB24"/>
      <c r="CC24"/>
      <c r="CD24"/>
      <c r="CE24"/>
      <c r="CF24"/>
      <c r="CG24"/>
      <c r="CH24"/>
      <c r="CI24"/>
      <c r="CJ24"/>
      <c r="CK24"/>
    </row>
    <row r="25" spans="1:89" s="8" customFormat="1" ht="16" hidden="1" customHeight="1" x14ac:dyDescent="0.35">
      <c r="A25" s="133" t="s">
        <v>149</v>
      </c>
      <c r="B25" s="133"/>
      <c r="C25" s="43"/>
      <c r="D25" s="43"/>
      <c r="E25" s="43"/>
      <c r="F25" s="43"/>
      <c r="G25" s="198"/>
      <c r="H25" s="198"/>
      <c r="I25" s="380"/>
      <c r="J25" s="384" t="str">
        <f t="shared" si="0"/>
        <v>Enterokocker</v>
      </c>
      <c r="K25" s="95" t="s">
        <v>46</v>
      </c>
      <c r="L25" s="95">
        <v>2435435</v>
      </c>
      <c r="M25" s="53"/>
      <c r="N25" s="80" t="s">
        <v>46</v>
      </c>
      <c r="O25" s="95">
        <v>1000</v>
      </c>
      <c r="P25" s="96"/>
      <c r="Q25" s="56"/>
      <c r="R25" s="83" t="s">
        <v>150</v>
      </c>
      <c r="S25" s="84">
        <f>IF(K25="cfu/100 g",LOG10(L25/100),LOG10(L25))</f>
        <v>4.3865765430566173</v>
      </c>
      <c r="T25" s="84">
        <f>IF(N25="cfu/100 g",LOG10(O25/100),LOG10(O25))</f>
        <v>1</v>
      </c>
      <c r="U25" s="86" t="s">
        <v>145</v>
      </c>
      <c r="V25" s="134" t="s">
        <v>151</v>
      </c>
      <c r="W25" s="97" t="s">
        <v>152</v>
      </c>
      <c r="X25" s="98"/>
      <c r="Y25" s="131" t="e">
        <f>T23-S23</f>
        <v>#VALUE!</v>
      </c>
      <c r="Z25" s="135"/>
      <c r="AA25" s="136"/>
      <c r="AB25" s="136"/>
      <c r="AC25" s="136"/>
      <c r="AD25" s="136"/>
      <c r="AE25" s="136"/>
      <c r="AF25" s="136"/>
      <c r="AG25" s="136"/>
      <c r="AH25" s="27" t="s">
        <v>153</v>
      </c>
      <c r="AI25" s="69"/>
      <c r="AJ25" s="70"/>
      <c r="AK25" s="69"/>
      <c r="AL25" s="69"/>
      <c r="AM25" s="69"/>
      <c r="AN25" s="35"/>
      <c r="AO25" s="35"/>
      <c r="AP25" s="137">
        <f>LOG10(100)</f>
        <v>2</v>
      </c>
      <c r="AQ25" s="137">
        <f>LOG10(100)</f>
        <v>2</v>
      </c>
      <c r="AR25" s="35"/>
      <c r="AS25" s="35"/>
      <c r="AT25" s="35"/>
      <c r="AU25" s="66"/>
      <c r="AV25" s="35"/>
      <c r="AW25" s="35"/>
      <c r="AX25" s="35"/>
      <c r="AY25" s="35"/>
      <c r="AZ25" s="35"/>
      <c r="BA25" s="35"/>
      <c r="BB25" s="35"/>
      <c r="BC25" s="35"/>
      <c r="BD25" s="52"/>
      <c r="BE25" s="27"/>
      <c r="BF25" s="27"/>
      <c r="BG25" s="27"/>
      <c r="BH25" s="35"/>
      <c r="BI25" s="132">
        <f>LOG10(2400000/100)</f>
        <v>4.3802112417116064</v>
      </c>
      <c r="BJ25" s="35">
        <v>810</v>
      </c>
      <c r="BK25" s="35"/>
      <c r="BL25"/>
      <c r="BM25"/>
      <c r="BN25"/>
      <c r="BO25"/>
      <c r="BP25"/>
      <c r="BQ25"/>
      <c r="BR25"/>
      <c r="BS25"/>
      <c r="BT25"/>
      <c r="BU25"/>
      <c r="BV25"/>
      <c r="BW25"/>
      <c r="BX25"/>
      <c r="BY25"/>
      <c r="BZ25"/>
      <c r="CA25"/>
      <c r="CB25"/>
      <c r="CC25"/>
      <c r="CD25"/>
      <c r="CE25"/>
      <c r="CF25"/>
      <c r="CG25"/>
      <c r="CH25"/>
      <c r="CI25"/>
      <c r="CJ25"/>
      <c r="CK25"/>
    </row>
    <row r="26" spans="1:89" s="8" customFormat="1" ht="19.5" customHeight="1" x14ac:dyDescent="0.35">
      <c r="A26" s="133"/>
      <c r="B26" s="133"/>
      <c r="C26" s="43"/>
      <c r="D26" s="43"/>
      <c r="E26" s="43"/>
      <c r="F26" s="43"/>
      <c r="G26" s="198"/>
      <c r="H26" s="198"/>
      <c r="I26" s="380"/>
      <c r="J26" s="384"/>
      <c r="K26" s="382"/>
      <c r="L26" s="138"/>
      <c r="M26" s="138"/>
      <c r="N26" s="15"/>
      <c r="O26" s="139"/>
      <c r="P26" s="140"/>
      <c r="Q26" s="56"/>
      <c r="R26" s="141"/>
      <c r="S26" s="142"/>
      <c r="T26" s="143"/>
      <c r="U26" s="144"/>
      <c r="V26" s="145"/>
      <c r="W26" s="98"/>
      <c r="X26" s="98"/>
      <c r="Y26" s="136"/>
      <c r="Z26" s="136"/>
      <c r="AA26" s="136"/>
      <c r="AB26" s="136"/>
      <c r="AC26" s="136"/>
      <c r="AD26" s="136"/>
      <c r="AE26" s="136"/>
      <c r="AF26" s="136"/>
      <c r="AG26" s="136"/>
      <c r="AH26" s="27" t="s">
        <v>137</v>
      </c>
      <c r="AI26" s="69"/>
      <c r="AJ26" s="70"/>
      <c r="AK26" s="69"/>
      <c r="AL26" s="69"/>
      <c r="AM26" s="69"/>
      <c r="AN26" s="35"/>
      <c r="AO26" s="35"/>
      <c r="AP26" s="35"/>
      <c r="AQ26" s="35"/>
      <c r="AR26" s="35"/>
      <c r="AS26" s="35"/>
      <c r="AT26" s="35"/>
      <c r="AU26" s="66"/>
      <c r="AV26" s="35"/>
      <c r="AW26" s="35"/>
      <c r="AX26" s="35"/>
      <c r="AY26" s="35"/>
      <c r="AZ26" s="35"/>
      <c r="BA26" s="35"/>
      <c r="BB26" s="35"/>
      <c r="BC26" s="35"/>
      <c r="BD26" s="52"/>
      <c r="BE26" s="27"/>
      <c r="BF26" s="27"/>
      <c r="BG26" s="27"/>
      <c r="BH26" s="35"/>
      <c r="BI26" s="35" t="s">
        <v>154</v>
      </c>
      <c r="BJ26" s="35" t="s">
        <v>155</v>
      </c>
      <c r="BK26" s="35"/>
      <c r="BL26"/>
      <c r="BM26"/>
      <c r="BN26"/>
      <c r="BO26"/>
      <c r="BP26"/>
      <c r="BQ26"/>
      <c r="BR26"/>
      <c r="BS26"/>
      <c r="BT26"/>
      <c r="BU26"/>
      <c r="BV26"/>
      <c r="BW26"/>
      <c r="BX26"/>
      <c r="BY26"/>
      <c r="BZ26"/>
      <c r="CA26"/>
      <c r="CB26"/>
      <c r="CC26"/>
      <c r="CD26"/>
      <c r="CE26"/>
      <c r="CF26"/>
      <c r="CG26"/>
      <c r="CH26"/>
      <c r="CI26"/>
      <c r="CJ26"/>
      <c r="CK26"/>
    </row>
    <row r="27" spans="1:89" ht="34.5" customHeight="1" x14ac:dyDescent="0.45">
      <c r="A27" s="133">
        <v>1.5184678522571823E-2</v>
      </c>
      <c r="B27" s="133"/>
      <c r="C27" s="43"/>
      <c r="D27" s="43"/>
      <c r="E27" s="43"/>
      <c r="F27" s="43"/>
      <c r="G27" s="198"/>
      <c r="H27" s="198"/>
      <c r="I27" s="380"/>
      <c r="J27" s="384"/>
      <c r="K27" s="382"/>
      <c r="L27" s="138"/>
      <c r="M27" s="138"/>
      <c r="N27" s="15"/>
      <c r="O27" s="139"/>
      <c r="P27" s="140"/>
      <c r="Q27" s="56"/>
      <c r="R27" s="74" t="s">
        <v>156</v>
      </c>
      <c r="S27" s="146"/>
      <c r="T27" s="76" t="s">
        <v>105</v>
      </c>
      <c r="U27" s="147"/>
      <c r="V27" s="148"/>
      <c r="W27" s="149" t="s">
        <v>157</v>
      </c>
      <c r="X27" s="150"/>
      <c r="Y27" s="90" t="s">
        <v>162</v>
      </c>
      <c r="Z27" s="91"/>
      <c r="AA27" s="136"/>
      <c r="AB27" s="136"/>
      <c r="AC27" s="136"/>
      <c r="AD27" s="136"/>
      <c r="AE27" s="136"/>
      <c r="AF27" s="136"/>
      <c r="AG27" s="136"/>
      <c r="AH27" s="151" t="s">
        <v>158</v>
      </c>
      <c r="AI27" s="69"/>
      <c r="AJ27" s="70"/>
      <c r="AK27" s="69"/>
      <c r="AL27" s="69"/>
      <c r="AM27" s="69"/>
      <c r="AN27" s="35"/>
      <c r="AO27" s="35"/>
      <c r="AP27" s="35"/>
      <c r="AQ27" s="35"/>
      <c r="AR27" s="35"/>
      <c r="AS27" s="35"/>
      <c r="AT27" s="35"/>
      <c r="AU27" s="35"/>
      <c r="AV27" s="35"/>
      <c r="AW27" s="35"/>
      <c r="AX27" s="35"/>
      <c r="AY27" s="35"/>
      <c r="AZ27" s="35"/>
      <c r="BA27" s="35"/>
      <c r="BB27" s="35"/>
      <c r="BC27" s="35"/>
      <c r="BD27" s="52"/>
      <c r="BE27" s="27"/>
      <c r="BF27" s="27"/>
      <c r="BG27" s="27"/>
      <c r="BH27" s="152"/>
      <c r="BI27" s="152" t="s">
        <v>159</v>
      </c>
      <c r="BJ27" s="152"/>
      <c r="BK27" s="152"/>
    </row>
    <row r="28" spans="1:89" s="168" customFormat="1" ht="20.149999999999999" customHeight="1" x14ac:dyDescent="0.35">
      <c r="A28" s="133">
        <v>0.15047879616963064</v>
      </c>
      <c r="B28" s="133"/>
      <c r="C28" s="153"/>
      <c r="D28" s="153"/>
      <c r="E28" s="153"/>
      <c r="F28" s="153"/>
      <c r="G28" s="377"/>
      <c r="H28" s="377"/>
      <c r="I28" s="380"/>
      <c r="J28" s="384" t="str">
        <f t="shared" si="0"/>
        <v>Koppar (Cu)</v>
      </c>
      <c r="K28" s="382"/>
      <c r="L28" s="154"/>
      <c r="M28" s="154"/>
      <c r="N28" s="155" t="s">
        <v>49</v>
      </c>
      <c r="O28" s="156">
        <v>210</v>
      </c>
      <c r="P28" s="140"/>
      <c r="Q28" s="26"/>
      <c r="R28" s="113" t="s">
        <v>160</v>
      </c>
      <c r="S28" s="146"/>
      <c r="T28" s="404">
        <f t="shared" ref="T28:T34" si="3">IF(N28="mg/kg TS",O28,(O28/1000)/($T$13/100))</f>
        <v>133.7579617834395</v>
      </c>
      <c r="U28" s="158" t="s">
        <v>161</v>
      </c>
      <c r="V28" s="159"/>
      <c r="W28" s="160">
        <v>600</v>
      </c>
      <c r="X28" s="161"/>
      <c r="Y28" s="394">
        <f>(T31*T13/100)/(T16/1000)</f>
        <v>16.681831968456173</v>
      </c>
      <c r="Z28" s="77" t="s">
        <v>314</v>
      </c>
      <c r="AA28" s="33"/>
      <c r="AB28" s="33"/>
      <c r="AC28" s="33"/>
      <c r="AD28" s="136"/>
      <c r="AE28" s="136"/>
      <c r="AF28" s="136"/>
      <c r="AG28" s="136"/>
      <c r="AH28" s="162" t="s">
        <v>160</v>
      </c>
      <c r="AI28" s="27" t="s">
        <v>68</v>
      </c>
      <c r="AJ28" s="62">
        <f>MIN(AN28:BF28)</f>
        <v>3.45</v>
      </c>
      <c r="AK28" s="63">
        <f>MAX(AN28:BF28)</f>
        <v>2000</v>
      </c>
      <c r="AL28" s="63">
        <f>AVERAGE(AN28:BF28)</f>
        <v>349.63</v>
      </c>
      <c r="AM28" s="64">
        <f>STDEV(AN28:BF28)/AL28</f>
        <v>1.4988956155881772</v>
      </c>
      <c r="AN28" s="35">
        <v>38</v>
      </c>
      <c r="AO28" s="35">
        <v>35</v>
      </c>
      <c r="AP28" s="66">
        <f t="shared" ref="AP28:AQ34" si="4">BH28/(20/1000)</f>
        <v>3.45</v>
      </c>
      <c r="AQ28" s="66">
        <f t="shared" si="4"/>
        <v>8</v>
      </c>
      <c r="AR28" s="35"/>
      <c r="AS28" s="35"/>
      <c r="AT28" s="35"/>
      <c r="AU28" s="35">
        <v>210</v>
      </c>
      <c r="AV28" s="35">
        <v>150</v>
      </c>
      <c r="AW28" s="35"/>
      <c r="AX28" s="163">
        <v>190</v>
      </c>
      <c r="AY28" s="163">
        <v>220</v>
      </c>
      <c r="AZ28" s="164">
        <v>1000</v>
      </c>
      <c r="BA28" s="164">
        <v>2000</v>
      </c>
      <c r="BB28" s="163">
        <v>180</v>
      </c>
      <c r="BC28" s="163">
        <v>160</v>
      </c>
      <c r="BD28" s="165">
        <v>310</v>
      </c>
      <c r="BE28" s="163">
        <v>590</v>
      </c>
      <c r="BF28" s="163">
        <v>150</v>
      </c>
      <c r="BG28" s="27"/>
      <c r="BH28" s="166">
        <f>69/1000</f>
        <v>6.9000000000000006E-2</v>
      </c>
      <c r="BI28" s="152">
        <v>0.16</v>
      </c>
      <c r="BJ28" s="167"/>
      <c r="BK28" s="152" t="s">
        <v>163</v>
      </c>
      <c r="BL28"/>
      <c r="BM28"/>
      <c r="BN28"/>
      <c r="BO28"/>
      <c r="BP28"/>
      <c r="BQ28"/>
      <c r="BR28"/>
      <c r="BS28"/>
      <c r="BT28"/>
      <c r="BU28"/>
      <c r="BV28"/>
      <c r="BW28"/>
      <c r="BX28"/>
      <c r="BY28"/>
      <c r="BZ28"/>
      <c r="CA28"/>
      <c r="CB28"/>
      <c r="CC28"/>
      <c r="CD28"/>
      <c r="CE28"/>
      <c r="CF28"/>
      <c r="CG28"/>
      <c r="CH28"/>
      <c r="CI28"/>
      <c r="CJ28"/>
      <c r="CK28"/>
    </row>
    <row r="29" spans="1:89" ht="21" customHeight="1" x14ac:dyDescent="0.35">
      <c r="A29" s="133">
        <v>7.1135430916552682E-4</v>
      </c>
      <c r="B29" s="133"/>
      <c r="C29" s="43"/>
      <c r="D29" s="43"/>
      <c r="E29" s="43"/>
      <c r="F29" s="43"/>
      <c r="G29" s="198"/>
      <c r="H29" s="198"/>
      <c r="I29" s="380"/>
      <c r="J29" s="384" t="str">
        <f t="shared" si="0"/>
        <v>Zink (Zn)</v>
      </c>
      <c r="K29" s="382"/>
      <c r="L29" s="138"/>
      <c r="M29" s="138"/>
      <c r="N29" s="155" t="s">
        <v>49</v>
      </c>
      <c r="O29" s="156">
        <v>660</v>
      </c>
      <c r="P29" s="140"/>
      <c r="Q29" s="26"/>
      <c r="R29" s="113" t="s">
        <v>164</v>
      </c>
      <c r="S29" s="146"/>
      <c r="T29" s="404">
        <f t="shared" si="3"/>
        <v>420.38216560509557</v>
      </c>
      <c r="U29" s="158" t="s">
        <v>161</v>
      </c>
      <c r="V29" s="159"/>
      <c r="W29" s="160">
        <v>800</v>
      </c>
      <c r="X29" s="161"/>
      <c r="Y29" s="395">
        <v>17</v>
      </c>
      <c r="Z29" s="127" t="s">
        <v>315</v>
      </c>
      <c r="AA29" s="33"/>
      <c r="AB29" s="33"/>
      <c r="AC29" s="33"/>
      <c r="AD29" s="136"/>
      <c r="AE29" s="136"/>
      <c r="AF29" s="136"/>
      <c r="AG29" s="136"/>
      <c r="AH29" s="162" t="s">
        <v>164</v>
      </c>
      <c r="AI29" s="27" t="s">
        <v>68</v>
      </c>
      <c r="AJ29" s="62">
        <f t="shared" ref="AJ29:AJ34" si="5">MIN(AN29:BF29)</f>
        <v>9.5</v>
      </c>
      <c r="AK29" s="63">
        <f t="shared" ref="AK29:AK34" si="6">MAX(AN29:BF29)</f>
        <v>1500</v>
      </c>
      <c r="AL29" s="63">
        <f t="shared" ref="AL29:AL34" si="7">AVERAGE(AN29:BF29)</f>
        <v>453.8</v>
      </c>
      <c r="AM29" s="64">
        <f t="shared" ref="AM29:AM34" si="8">STDEV(AN29:BF29)/AL29</f>
        <v>0.86802389696419069</v>
      </c>
      <c r="AN29" s="35">
        <v>130</v>
      </c>
      <c r="AO29" s="35">
        <v>97</v>
      </c>
      <c r="AP29" s="66">
        <f t="shared" si="4"/>
        <v>9.5</v>
      </c>
      <c r="AQ29" s="66">
        <f t="shared" si="4"/>
        <v>20.5</v>
      </c>
      <c r="AR29" s="35"/>
      <c r="AS29" s="35"/>
      <c r="AT29" s="35"/>
      <c r="AU29" s="35">
        <v>410</v>
      </c>
      <c r="AV29" s="35">
        <v>400</v>
      </c>
      <c r="AW29" s="35"/>
      <c r="AX29" s="163">
        <v>480</v>
      </c>
      <c r="AY29" s="163">
        <v>420</v>
      </c>
      <c r="AZ29" s="163">
        <v>1500</v>
      </c>
      <c r="BA29" s="164">
        <v>1100</v>
      </c>
      <c r="BB29" s="163">
        <v>370</v>
      </c>
      <c r="BC29" s="163">
        <v>370</v>
      </c>
      <c r="BD29" s="165">
        <v>530</v>
      </c>
      <c r="BE29" s="163">
        <v>570</v>
      </c>
      <c r="BF29" s="163">
        <v>400</v>
      </c>
      <c r="BG29" s="27"/>
      <c r="BH29" s="152">
        <f>190/1000</f>
        <v>0.19</v>
      </c>
      <c r="BI29" s="152">
        <v>0.41</v>
      </c>
      <c r="BJ29" s="167"/>
      <c r="BK29" s="152" t="s">
        <v>165</v>
      </c>
    </row>
    <row r="30" spans="1:89" ht="20.149999999999999" customHeight="1" x14ac:dyDescent="0.35">
      <c r="A30" s="133">
        <v>2.1203830369357046E-4</v>
      </c>
      <c r="B30" s="133"/>
      <c r="C30" s="43"/>
      <c r="D30" s="43"/>
      <c r="E30" s="43"/>
      <c r="F30" s="43"/>
      <c r="G30" s="198"/>
      <c r="H30" s="198"/>
      <c r="I30" s="380"/>
      <c r="J30" s="384" t="str">
        <f t="shared" si="0"/>
        <v>Bly (Pb)</v>
      </c>
      <c r="K30" s="382"/>
      <c r="L30" s="138"/>
      <c r="M30" s="138"/>
      <c r="N30" s="155" t="s">
        <v>49</v>
      </c>
      <c r="O30" s="156">
        <v>3.1</v>
      </c>
      <c r="P30" s="140"/>
      <c r="Q30" s="26"/>
      <c r="R30" s="113" t="s">
        <v>166</v>
      </c>
      <c r="S30" s="146"/>
      <c r="T30" s="157">
        <f t="shared" si="3"/>
        <v>1.9745222929936306</v>
      </c>
      <c r="U30" s="158" t="s">
        <v>161</v>
      </c>
      <c r="V30" s="159"/>
      <c r="W30" s="160">
        <v>100</v>
      </c>
      <c r="X30" s="161"/>
      <c r="Y30" s="33"/>
      <c r="Z30" s="33"/>
      <c r="AA30" s="33"/>
      <c r="AB30" s="33"/>
      <c r="AC30" s="33"/>
      <c r="AD30" s="136"/>
      <c r="AE30" s="136"/>
      <c r="AF30" s="136"/>
      <c r="AG30" s="136"/>
      <c r="AH30" s="162" t="s">
        <v>166</v>
      </c>
      <c r="AI30" s="27" t="s">
        <v>68</v>
      </c>
      <c r="AJ30" s="62">
        <f t="shared" si="5"/>
        <v>6.9999999999999993E-2</v>
      </c>
      <c r="AK30" s="63">
        <f t="shared" si="6"/>
        <v>93</v>
      </c>
      <c r="AL30" s="63">
        <f t="shared" si="7"/>
        <v>13.956999999999999</v>
      </c>
      <c r="AM30" s="64">
        <f t="shared" si="8"/>
        <v>1.7638230703261648</v>
      </c>
      <c r="AN30" s="137">
        <v>3.2</v>
      </c>
      <c r="AO30" s="137">
        <v>1.9</v>
      </c>
      <c r="AP30" s="66">
        <f t="shared" si="4"/>
        <v>6.9999999999999993E-2</v>
      </c>
      <c r="AQ30" s="66">
        <f t="shared" si="4"/>
        <v>0.185</v>
      </c>
      <c r="AR30" s="35"/>
      <c r="AS30" s="35"/>
      <c r="AT30" s="35"/>
      <c r="AU30" s="35">
        <v>5.4</v>
      </c>
      <c r="AV30" s="169">
        <v>4.5999999999999996</v>
      </c>
      <c r="AW30" s="35"/>
      <c r="AX30" s="108">
        <v>3.4</v>
      </c>
      <c r="AY30" s="108">
        <v>4.7</v>
      </c>
      <c r="AZ30" s="108">
        <v>93</v>
      </c>
      <c r="BA30" s="108">
        <v>43</v>
      </c>
      <c r="BB30" s="108">
        <v>4.9000000000000004</v>
      </c>
      <c r="BC30" s="108">
        <v>4.4000000000000004</v>
      </c>
      <c r="BD30" s="109">
        <v>11</v>
      </c>
      <c r="BE30" s="108">
        <v>25</v>
      </c>
      <c r="BF30" s="108">
        <v>4.5999999999999996</v>
      </c>
      <c r="BG30" s="27"/>
      <c r="BH30" s="152">
        <f>1.4/1000</f>
        <v>1.4E-3</v>
      </c>
      <c r="BI30" s="152">
        <v>3.7000000000000002E-3</v>
      </c>
      <c r="BJ30" s="167"/>
      <c r="BK30" s="152" t="s">
        <v>163</v>
      </c>
    </row>
    <row r="31" spans="1:89" ht="20.149999999999999" customHeight="1" x14ac:dyDescent="0.35">
      <c r="A31" s="133">
        <v>1.9151846785225722E-3</v>
      </c>
      <c r="B31" s="133"/>
      <c r="C31" s="43"/>
      <c r="D31" s="43"/>
      <c r="E31" s="43"/>
      <c r="F31" s="43"/>
      <c r="G31" s="198"/>
      <c r="H31" s="198"/>
      <c r="I31" s="380"/>
      <c r="J31" s="384" t="str">
        <f t="shared" si="0"/>
        <v>Kadmium (Cd)</v>
      </c>
      <c r="K31" s="382"/>
      <c r="L31" s="138"/>
      <c r="M31" s="138"/>
      <c r="N31" s="155" t="s">
        <v>49</v>
      </c>
      <c r="O31" s="156">
        <v>0.55000000000000004</v>
      </c>
      <c r="P31" s="140"/>
      <c r="Q31" s="26"/>
      <c r="R31" s="113" t="s">
        <v>167</v>
      </c>
      <c r="S31" s="146"/>
      <c r="T31" s="157">
        <f t="shared" si="3"/>
        <v>0.35031847133757965</v>
      </c>
      <c r="U31" s="158" t="s">
        <v>161</v>
      </c>
      <c r="V31" s="159"/>
      <c r="W31" s="160">
        <v>2</v>
      </c>
      <c r="X31" s="161"/>
      <c r="Y31" s="136"/>
      <c r="Z31" s="136"/>
      <c r="AA31" s="136"/>
      <c r="AB31" s="136"/>
      <c r="AC31" s="136"/>
      <c r="AD31" s="136"/>
      <c r="AE31" s="136"/>
      <c r="AF31" s="136"/>
      <c r="AG31" s="136"/>
      <c r="AH31" s="162" t="s">
        <v>167</v>
      </c>
      <c r="AI31" s="27" t="s">
        <v>68</v>
      </c>
      <c r="AJ31" s="62">
        <f t="shared" si="5"/>
        <v>8.9999999999999993E-3</v>
      </c>
      <c r="AK31" s="63">
        <f t="shared" si="6"/>
        <v>0.74</v>
      </c>
      <c r="AL31" s="63">
        <f t="shared" si="7"/>
        <v>0.38646666666666668</v>
      </c>
      <c r="AM31" s="64">
        <f t="shared" si="8"/>
        <v>0.49307008936686764</v>
      </c>
      <c r="AN31" s="137">
        <v>0.32</v>
      </c>
      <c r="AO31" s="137">
        <v>0.19</v>
      </c>
      <c r="AP31" s="66">
        <f t="shared" si="4"/>
        <v>8.9999999999999993E-3</v>
      </c>
      <c r="AQ31" s="66">
        <f t="shared" si="4"/>
        <v>1.8000000000000002E-2</v>
      </c>
      <c r="AR31" s="35"/>
      <c r="AS31" s="35"/>
      <c r="AT31" s="35"/>
      <c r="AU31" s="35">
        <v>0.37</v>
      </c>
      <c r="AV31" s="35">
        <v>0.49</v>
      </c>
      <c r="AW31" s="35"/>
      <c r="AX31" s="108">
        <v>0.4</v>
      </c>
      <c r="AY31" s="108">
        <v>0.42</v>
      </c>
      <c r="AZ31" s="108">
        <v>0.74</v>
      </c>
      <c r="BA31" s="108">
        <v>0.43</v>
      </c>
      <c r="BB31" s="108">
        <v>0.49</v>
      </c>
      <c r="BC31" s="108">
        <v>0.44</v>
      </c>
      <c r="BD31" s="109">
        <v>0.49</v>
      </c>
      <c r="BE31" s="108">
        <v>0.5</v>
      </c>
      <c r="BF31" s="108">
        <v>0.49</v>
      </c>
      <c r="BG31" s="27"/>
      <c r="BH31" s="152">
        <f>0.18/1000</f>
        <v>1.7999999999999998E-4</v>
      </c>
      <c r="BI31" s="152">
        <v>3.6000000000000002E-4</v>
      </c>
      <c r="BJ31" s="167"/>
      <c r="BK31" s="152" t="s">
        <v>163</v>
      </c>
    </row>
    <row r="32" spans="1:89" ht="20.149999999999999" customHeight="1" x14ac:dyDescent="0.35">
      <c r="A32" s="133">
        <v>1.3433652530779754E-4</v>
      </c>
      <c r="B32" s="133"/>
      <c r="C32" s="43"/>
      <c r="D32" s="43"/>
      <c r="E32" s="43"/>
      <c r="F32" s="43"/>
      <c r="G32" s="198"/>
      <c r="H32" s="198"/>
      <c r="I32" s="380"/>
      <c r="J32" s="384" t="str">
        <f t="shared" si="0"/>
        <v>Krom (Cr)</v>
      </c>
      <c r="K32" s="382"/>
      <c r="L32" s="138"/>
      <c r="M32" s="138"/>
      <c r="N32" s="155" t="s">
        <v>49</v>
      </c>
      <c r="O32" s="156">
        <v>6.8</v>
      </c>
      <c r="P32" s="140"/>
      <c r="Q32" s="26"/>
      <c r="R32" s="113" t="s">
        <v>168</v>
      </c>
      <c r="S32" s="146"/>
      <c r="T32" s="157">
        <f t="shared" si="3"/>
        <v>4.3312101910828025</v>
      </c>
      <c r="U32" s="158" t="s">
        <v>161</v>
      </c>
      <c r="V32" s="159"/>
      <c r="W32" s="160">
        <v>100</v>
      </c>
      <c r="X32" s="161"/>
      <c r="Y32" s="408"/>
      <c r="Z32" s="136"/>
      <c r="AA32" s="136"/>
      <c r="AB32" s="136"/>
      <c r="AC32" s="136"/>
      <c r="AD32" s="136"/>
      <c r="AE32" s="136"/>
      <c r="AF32" s="136"/>
      <c r="AG32" s="136"/>
      <c r="AH32" s="162" t="s">
        <v>168</v>
      </c>
      <c r="AI32" s="27" t="s">
        <v>68</v>
      </c>
      <c r="AJ32" s="62">
        <f t="shared" si="5"/>
        <v>0.13500000000000001</v>
      </c>
      <c r="AK32" s="63">
        <f t="shared" si="6"/>
        <v>85</v>
      </c>
      <c r="AL32" s="63">
        <f t="shared" si="7"/>
        <v>14.954666666666668</v>
      </c>
      <c r="AM32" s="64">
        <f t="shared" si="8"/>
        <v>1.6518286625905545</v>
      </c>
      <c r="AN32" s="35">
        <v>2.5</v>
      </c>
      <c r="AO32" s="35">
        <v>1.4</v>
      </c>
      <c r="AP32" s="66">
        <f t="shared" si="4"/>
        <v>0.185</v>
      </c>
      <c r="AQ32" s="66">
        <f t="shared" si="4"/>
        <v>0.13500000000000001</v>
      </c>
      <c r="AR32" s="35"/>
      <c r="AS32" s="35"/>
      <c r="AT32" s="35"/>
      <c r="AU32" s="169">
        <v>4.9000000000000004</v>
      </c>
      <c r="AV32" s="35">
        <v>3.2</v>
      </c>
      <c r="AW32" s="35"/>
      <c r="AX32" s="65">
        <v>5.2</v>
      </c>
      <c r="AY32" s="65">
        <v>5.9</v>
      </c>
      <c r="AZ32" s="65">
        <v>26</v>
      </c>
      <c r="BA32" s="65">
        <v>85</v>
      </c>
      <c r="BB32" s="65">
        <v>5.4</v>
      </c>
      <c r="BC32" s="65">
        <v>3.3</v>
      </c>
      <c r="BD32" s="170">
        <v>19</v>
      </c>
      <c r="BE32" s="65">
        <v>59</v>
      </c>
      <c r="BF32" s="65">
        <v>3.2</v>
      </c>
      <c r="BG32" s="27"/>
      <c r="BH32" s="152">
        <f>3.7/1000</f>
        <v>3.7000000000000002E-3</v>
      </c>
      <c r="BI32" s="152">
        <v>2.7000000000000001E-3</v>
      </c>
      <c r="BJ32" s="167"/>
      <c r="BK32" s="152" t="s">
        <v>163</v>
      </c>
    </row>
    <row r="33" spans="1:89" ht="20.149999999999999" customHeight="1" x14ac:dyDescent="0.35">
      <c r="A33" s="105">
        <v>2.7496580027359784E-3</v>
      </c>
      <c r="B33" s="105"/>
      <c r="C33" s="43"/>
      <c r="D33" s="43"/>
      <c r="E33" s="43"/>
      <c r="F33" s="43"/>
      <c r="G33" s="198"/>
      <c r="H33" s="198"/>
      <c r="I33" s="380"/>
      <c r="J33" s="384" t="str">
        <f t="shared" si="0"/>
        <v>Kvicksilver (Hg)</v>
      </c>
      <c r="K33" s="382"/>
      <c r="L33" s="138"/>
      <c r="M33" s="138"/>
      <c r="N33" s="155" t="s">
        <v>49</v>
      </c>
      <c r="O33" s="156">
        <v>0.17</v>
      </c>
      <c r="P33" s="140"/>
      <c r="Q33" s="26"/>
      <c r="R33" s="113" t="s">
        <v>169</v>
      </c>
      <c r="S33" s="146"/>
      <c r="T33" s="157">
        <f t="shared" si="3"/>
        <v>0.10828025477707007</v>
      </c>
      <c r="U33" s="158" t="s">
        <v>161</v>
      </c>
      <c r="V33" s="159"/>
      <c r="W33" s="160">
        <v>2.5</v>
      </c>
      <c r="X33" s="161"/>
      <c r="Y33" s="136"/>
      <c r="Z33" s="136"/>
      <c r="AA33" s="136"/>
      <c r="AB33" s="136"/>
      <c r="AC33" s="136"/>
      <c r="AD33" s="136"/>
      <c r="AE33" s="136"/>
      <c r="AF33" s="136"/>
      <c r="AG33" s="136"/>
      <c r="AH33" s="162" t="s">
        <v>169</v>
      </c>
      <c r="AI33" s="27" t="s">
        <v>68</v>
      </c>
      <c r="AJ33" s="62">
        <f t="shared" si="5"/>
        <v>5.0000000000000001E-3</v>
      </c>
      <c r="AK33" s="63">
        <f t="shared" si="6"/>
        <v>0.3</v>
      </c>
      <c r="AL33" s="63">
        <f t="shared" si="7"/>
        <v>0.11059999999999999</v>
      </c>
      <c r="AM33" s="64">
        <f t="shared" si="8"/>
        <v>0.87722801107472692</v>
      </c>
      <c r="AN33" s="35">
        <v>8.2000000000000003E-2</v>
      </c>
      <c r="AO33" s="35">
        <v>5.3999999999999999E-2</v>
      </c>
      <c r="AP33" s="66">
        <f t="shared" si="4"/>
        <v>5.0000000000000001E-3</v>
      </c>
      <c r="AQ33" s="66">
        <f t="shared" si="4"/>
        <v>9.0000000000000011E-3</v>
      </c>
      <c r="AR33" s="35"/>
      <c r="AS33" s="35"/>
      <c r="AT33" s="35"/>
      <c r="AU33" s="35">
        <v>0.12</v>
      </c>
      <c r="AV33" s="35">
        <v>0.14000000000000001</v>
      </c>
      <c r="AW33" s="35"/>
      <c r="AX33" s="102">
        <v>0.24</v>
      </c>
      <c r="AY33" s="102">
        <v>3.5999999999999997E-2</v>
      </c>
      <c r="AZ33" s="102">
        <v>0.3</v>
      </c>
      <c r="BA33" s="102">
        <v>0.12</v>
      </c>
      <c r="BB33" s="102"/>
      <c r="BC33" s="102"/>
      <c r="BD33" s="103"/>
      <c r="BE33" s="102"/>
      <c r="BF33" s="102"/>
      <c r="BG33" s="27"/>
      <c r="BH33" s="171">
        <f>0.1/1000</f>
        <v>1E-4</v>
      </c>
      <c r="BI33" s="152">
        <v>1.8000000000000001E-4</v>
      </c>
      <c r="BJ33" s="167"/>
      <c r="BK33" s="152" t="s">
        <v>163</v>
      </c>
    </row>
    <row r="34" spans="1:89" ht="20.149999999999999" customHeight="1" thickBot="1" x14ac:dyDescent="0.4">
      <c r="A34" s="172"/>
      <c r="B34" s="172"/>
      <c r="G34" s="8"/>
      <c r="H34" s="8"/>
      <c r="I34" s="418"/>
      <c r="J34" s="419" t="str">
        <f t="shared" si="0"/>
        <v>Nickel (Ni)</v>
      </c>
      <c r="K34" s="420"/>
      <c r="L34" s="421"/>
      <c r="M34" s="421"/>
      <c r="N34" s="422" t="s">
        <v>49</v>
      </c>
      <c r="O34" s="423">
        <v>17</v>
      </c>
      <c r="P34" s="424"/>
      <c r="Q34" s="8"/>
      <c r="R34" s="113" t="s">
        <v>170</v>
      </c>
      <c r="S34" s="146"/>
      <c r="T34" s="405">
        <f t="shared" si="3"/>
        <v>10.828025477707007</v>
      </c>
      <c r="U34" s="158" t="s">
        <v>161</v>
      </c>
      <c r="V34" s="159"/>
      <c r="W34" s="160">
        <v>50</v>
      </c>
      <c r="X34" s="161"/>
      <c r="Y34" s="406"/>
      <c r="Z34" s="407"/>
      <c r="AA34" s="136"/>
      <c r="AB34" s="136"/>
      <c r="AC34" s="136"/>
      <c r="AD34" s="136"/>
      <c r="AE34" s="136"/>
      <c r="AF34" s="136"/>
      <c r="AG34" s="136"/>
      <c r="AH34" s="162" t="s">
        <v>170</v>
      </c>
      <c r="AI34" s="27" t="s">
        <v>68</v>
      </c>
      <c r="AJ34" s="62">
        <f t="shared" si="5"/>
        <v>0.42500000000000004</v>
      </c>
      <c r="AK34" s="63">
        <f t="shared" si="6"/>
        <v>57</v>
      </c>
      <c r="AL34" s="63">
        <f t="shared" si="7"/>
        <v>12.605</v>
      </c>
      <c r="AM34" s="64">
        <f t="shared" si="8"/>
        <v>1.2308990460046392</v>
      </c>
      <c r="AN34" s="35">
        <v>3.9</v>
      </c>
      <c r="AO34" s="35">
        <v>4.0999999999999996</v>
      </c>
      <c r="AP34" s="66">
        <f t="shared" si="4"/>
        <v>0.54999999999999993</v>
      </c>
      <c r="AQ34" s="66">
        <f t="shared" si="4"/>
        <v>0.42500000000000004</v>
      </c>
      <c r="AR34" s="35"/>
      <c r="AS34" s="35"/>
      <c r="AT34" s="35"/>
      <c r="AU34" s="35">
        <v>6</v>
      </c>
      <c r="AV34" s="35">
        <v>6.6</v>
      </c>
      <c r="AW34" s="35"/>
      <c r="AX34" s="65">
        <v>6.8</v>
      </c>
      <c r="AY34" s="65">
        <v>8.1999999999999993</v>
      </c>
      <c r="AZ34" s="65">
        <v>22</v>
      </c>
      <c r="BA34" s="65">
        <v>57</v>
      </c>
      <c r="BB34" s="65">
        <v>7.9</v>
      </c>
      <c r="BC34" s="65">
        <v>7</v>
      </c>
      <c r="BD34" s="170">
        <v>14</v>
      </c>
      <c r="BE34" s="65">
        <v>38</v>
      </c>
      <c r="BF34" s="65">
        <v>6.6</v>
      </c>
      <c r="BG34" s="27"/>
      <c r="BH34" s="152">
        <f>11/1000</f>
        <v>1.0999999999999999E-2</v>
      </c>
      <c r="BI34" s="152">
        <v>8.5000000000000006E-3</v>
      </c>
      <c r="BJ34" s="167"/>
      <c r="BK34" s="152" t="s">
        <v>163</v>
      </c>
    </row>
    <row r="35" spans="1:89" s="175" customFormat="1" ht="20.149999999999999" hidden="1" customHeight="1" x14ac:dyDescent="0.35">
      <c r="A35" s="32"/>
      <c r="B35" s="32"/>
      <c r="C35" s="16"/>
      <c r="D35" s="16"/>
      <c r="E35" s="16"/>
      <c r="F35" s="16"/>
      <c r="G35" s="8"/>
      <c r="H35" s="8"/>
      <c r="I35" s="383"/>
      <c r="J35" s="384" t="str">
        <f t="shared" si="0"/>
        <v>Tenn Sn</v>
      </c>
      <c r="K35" s="139"/>
      <c r="L35" s="15"/>
      <c r="M35" s="15"/>
      <c r="N35" s="416"/>
      <c r="O35" s="417"/>
      <c r="P35" s="140"/>
      <c r="Q35" s="8"/>
      <c r="R35" s="106" t="s">
        <v>171</v>
      </c>
      <c r="S35" s="146"/>
      <c r="T35" s="157">
        <f t="shared" ref="T35:T36" si="9">IF(N35="mg/kg TS",O35,O35/($T$13/100))</f>
        <v>0</v>
      </c>
      <c r="U35" s="158" t="s">
        <v>161</v>
      </c>
      <c r="V35" s="148"/>
      <c r="W35" s="173" t="s">
        <v>152</v>
      </c>
      <c r="X35" s="174"/>
      <c r="Y35" s="136"/>
      <c r="Z35" s="136"/>
      <c r="AA35" s="136"/>
      <c r="AB35" s="136"/>
      <c r="AC35" s="136"/>
      <c r="AD35" s="136"/>
      <c r="AE35" s="136"/>
      <c r="AF35" s="136"/>
      <c r="AG35" s="136"/>
      <c r="AH35" s="27" t="s">
        <v>172</v>
      </c>
      <c r="AI35" s="69"/>
      <c r="AJ35" s="70"/>
      <c r="AK35" s="69"/>
      <c r="AL35" s="69"/>
      <c r="AM35" s="69"/>
      <c r="AN35" s="35"/>
      <c r="AO35" s="35"/>
      <c r="AP35" s="66"/>
      <c r="AQ35" s="66">
        <f>BI35/(20/1000)</f>
        <v>0.23500000000000001</v>
      </c>
      <c r="AR35" s="35"/>
      <c r="AS35" s="35"/>
      <c r="AT35" s="35"/>
      <c r="AU35" s="35"/>
      <c r="AV35" s="35"/>
      <c r="AW35" s="35"/>
      <c r="AX35" s="35"/>
      <c r="AY35" s="35"/>
      <c r="AZ35" s="35"/>
      <c r="BA35" s="35"/>
      <c r="BB35" s="35"/>
      <c r="BC35" s="35"/>
      <c r="BD35" s="52"/>
      <c r="BE35" s="27"/>
      <c r="BF35" s="27"/>
      <c r="BG35" s="27"/>
      <c r="BH35" s="152"/>
      <c r="BI35" s="152">
        <v>4.7000000000000002E-3</v>
      </c>
      <c r="BJ35" s="167"/>
      <c r="BK35" s="152" t="s">
        <v>163</v>
      </c>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row>
    <row r="36" spans="1:89" s="175" customFormat="1" ht="21.75" hidden="1" customHeight="1" x14ac:dyDescent="0.35">
      <c r="A36" s="32"/>
      <c r="B36" s="32"/>
      <c r="C36" s="16"/>
      <c r="D36" s="16"/>
      <c r="E36" s="16"/>
      <c r="F36" s="16"/>
      <c r="G36" s="8"/>
      <c r="H36" s="8"/>
      <c r="I36" s="383"/>
      <c r="J36" s="384" t="str">
        <f t="shared" si="0"/>
        <v>Silver Ag</v>
      </c>
      <c r="K36" s="139"/>
      <c r="L36" s="15"/>
      <c r="M36" s="15"/>
      <c r="N36" s="155"/>
      <c r="O36" s="156"/>
      <c r="P36" s="140"/>
      <c r="Q36" s="8"/>
      <c r="R36" s="106" t="s">
        <v>173</v>
      </c>
      <c r="S36" s="146"/>
      <c r="T36" s="157">
        <f t="shared" si="9"/>
        <v>0</v>
      </c>
      <c r="U36" s="158" t="s">
        <v>161</v>
      </c>
      <c r="V36" s="148"/>
      <c r="W36" s="173" t="s">
        <v>152</v>
      </c>
      <c r="X36" s="174"/>
      <c r="Y36" s="136"/>
      <c r="Z36" s="136"/>
      <c r="AA36" s="136"/>
      <c r="AB36" s="136"/>
      <c r="AC36" s="136"/>
      <c r="AD36" s="136"/>
      <c r="AE36" s="136"/>
      <c r="AF36" s="136"/>
      <c r="AG36" s="136"/>
      <c r="AH36" s="27" t="s">
        <v>174</v>
      </c>
      <c r="AI36" s="69"/>
      <c r="AJ36" s="70"/>
      <c r="AK36" s="69"/>
      <c r="AL36" s="69"/>
      <c r="AM36" s="69"/>
      <c r="AN36" s="35"/>
      <c r="AO36" s="35"/>
      <c r="AP36" s="66"/>
      <c r="AQ36" s="66">
        <f>BI36/(20/1000)</f>
        <v>2.5000000000000001E-2</v>
      </c>
      <c r="AR36" s="35"/>
      <c r="AS36" s="35"/>
      <c r="AT36" s="35"/>
      <c r="AU36" s="35"/>
      <c r="AV36" s="35"/>
      <c r="AW36" s="35"/>
      <c r="AX36" s="35"/>
      <c r="AY36" s="35"/>
      <c r="AZ36" s="35"/>
      <c r="BA36" s="35"/>
      <c r="BB36" s="35"/>
      <c r="BC36" s="35"/>
      <c r="BD36" s="52"/>
      <c r="BE36" s="27"/>
      <c r="BF36" s="27"/>
      <c r="BG36" s="27"/>
      <c r="BH36" s="176"/>
      <c r="BI36" s="171">
        <v>5.0000000000000001E-4</v>
      </c>
      <c r="BJ36" s="167"/>
      <c r="BK36" s="152" t="s">
        <v>163</v>
      </c>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row>
    <row r="37" spans="1:89" s="46" customFormat="1" ht="18.649999999999999" customHeight="1" x14ac:dyDescent="0.35">
      <c r="C37" s="8"/>
      <c r="D37" s="8"/>
      <c r="E37" s="8"/>
      <c r="F37" s="8"/>
      <c r="G37" s="8"/>
      <c r="H37" s="177"/>
      <c r="I37" s="177"/>
      <c r="J37" s="177"/>
      <c r="K37" s="177"/>
      <c r="L37" s="177"/>
      <c r="M37" s="177"/>
      <c r="N37" s="177"/>
      <c r="O37" s="177"/>
      <c r="P37" s="177"/>
      <c r="Q37" s="177"/>
      <c r="R37" s="177"/>
      <c r="S37" s="142"/>
      <c r="T37" s="178"/>
      <c r="U37" s="179"/>
      <c r="V37" s="180"/>
      <c r="W37" s="180"/>
      <c r="X37" s="180"/>
      <c r="Y37" s="136"/>
      <c r="Z37" s="136"/>
      <c r="AA37" s="136"/>
      <c r="AB37" s="136"/>
      <c r="AC37" s="136"/>
      <c r="AD37" s="136"/>
      <c r="AE37" s="136"/>
      <c r="AF37" s="136"/>
      <c r="AG37" s="136"/>
      <c r="AH37" s="57"/>
      <c r="AI37" s="181"/>
      <c r="AJ37" s="182"/>
      <c r="AK37" s="182"/>
      <c r="AL37" s="182"/>
      <c r="AM37" s="182"/>
      <c r="AN37" s="182"/>
      <c r="AO37" s="182"/>
      <c r="AP37" s="182"/>
      <c r="AQ37" s="182"/>
      <c r="AR37" s="182"/>
      <c r="AS37" s="182"/>
      <c r="AT37" s="182"/>
      <c r="AU37" s="182"/>
      <c r="AV37" s="182"/>
      <c r="AW37" s="182"/>
      <c r="AX37" s="182"/>
      <c r="AY37" s="182"/>
      <c r="AZ37" s="57"/>
      <c r="BA37" s="57"/>
      <c r="BB37" s="8"/>
      <c r="BC37" s="8"/>
      <c r="BD37" s="8"/>
      <c r="BG37" s="57"/>
      <c r="BH37" s="57"/>
      <c r="BI37" s="57"/>
      <c r="BJ37" s="57"/>
      <c r="BK37" s="57"/>
      <c r="BL37" s="57"/>
      <c r="BM37" s="57"/>
      <c r="BN37" s="57"/>
      <c r="BO37" s="57"/>
      <c r="BP37" s="57"/>
      <c r="BQ37" s="57"/>
      <c r="BR37" s="57"/>
      <c r="BS37" s="57"/>
      <c r="BT37" s="57"/>
      <c r="BU37" s="57"/>
      <c r="BV37" s="57"/>
      <c r="BW37" s="57"/>
      <c r="BX37" s="57"/>
      <c r="BY37" s="57"/>
      <c r="BZ37" s="57"/>
      <c r="CA37" s="57"/>
      <c r="CB37" s="57"/>
      <c r="CC37" s="57"/>
      <c r="CD37" s="57"/>
      <c r="CE37" s="57"/>
      <c r="CF37" s="57"/>
      <c r="CG37" s="57"/>
      <c r="CH37" s="57"/>
      <c r="CI37" s="57"/>
      <c r="CJ37" s="57"/>
      <c r="CK37" s="57"/>
    </row>
    <row r="38" spans="1:89" s="46" customFormat="1" ht="11.25" customHeight="1" thickBot="1" x14ac:dyDescent="0.4">
      <c r="C38" s="8"/>
      <c r="D38" s="8"/>
      <c r="E38" s="8"/>
      <c r="F38" s="8"/>
      <c r="G38" s="8"/>
      <c r="H38" s="8"/>
      <c r="I38" s="317"/>
      <c r="J38" s="317"/>
      <c r="K38" s="317"/>
      <c r="L38" s="317"/>
      <c r="M38" s="317"/>
      <c r="N38" s="391"/>
      <c r="O38" s="392"/>
      <c r="P38" s="392"/>
      <c r="Q38" s="317"/>
      <c r="R38" s="386"/>
      <c r="S38" s="272"/>
      <c r="T38" s="387"/>
      <c r="U38" s="388"/>
      <c r="V38" s="389"/>
      <c r="W38" s="389"/>
      <c r="X38" s="389"/>
      <c r="Y38" s="390"/>
      <c r="Z38" s="390"/>
      <c r="AA38" s="136"/>
      <c r="AB38" s="136"/>
      <c r="AC38" s="136"/>
      <c r="AD38" s="136"/>
      <c r="AE38" s="136"/>
      <c r="AF38" s="136"/>
      <c r="AG38" s="136"/>
      <c r="AH38" s="57"/>
      <c r="AI38" s="181"/>
      <c r="AJ38" s="182"/>
      <c r="AK38" s="182"/>
      <c r="AL38" s="182"/>
      <c r="AM38" s="182"/>
      <c r="AN38" s="182"/>
      <c r="AO38" s="182"/>
      <c r="AP38" s="182"/>
      <c r="AQ38" s="182"/>
      <c r="AR38" s="182"/>
      <c r="AS38" s="182"/>
      <c r="AT38" s="182"/>
      <c r="AU38" s="182"/>
      <c r="AV38" s="182"/>
      <c r="AW38" s="182"/>
      <c r="AX38" s="182"/>
      <c r="AY38" s="182"/>
      <c r="AZ38" s="57"/>
      <c r="BA38" s="57"/>
      <c r="BB38" s="8"/>
      <c r="BC38" s="8"/>
      <c r="BD38" s="8"/>
      <c r="BG38" s="57"/>
      <c r="BH38" s="57"/>
      <c r="BI38" s="57"/>
      <c r="BJ38" s="57"/>
      <c r="BK38" s="57"/>
      <c r="BL38" s="57"/>
      <c r="BM38" s="57"/>
      <c r="BN38" s="57"/>
      <c r="BO38" s="57"/>
      <c r="BP38" s="57"/>
      <c r="BQ38" s="57"/>
      <c r="BR38" s="57"/>
      <c r="BS38" s="57"/>
      <c r="BT38" s="57"/>
      <c r="BU38" s="57"/>
      <c r="BV38" s="57"/>
      <c r="BW38" s="57"/>
      <c r="BX38" s="57"/>
      <c r="BY38" s="57"/>
      <c r="BZ38" s="57"/>
      <c r="CA38" s="57"/>
      <c r="CB38" s="57"/>
      <c r="CC38" s="57"/>
      <c r="CD38" s="57"/>
      <c r="CE38" s="57"/>
      <c r="CF38" s="57"/>
      <c r="CG38" s="57"/>
      <c r="CH38" s="57"/>
      <c r="CI38" s="57"/>
      <c r="CJ38" s="57"/>
      <c r="CK38" s="57"/>
    </row>
    <row r="39" spans="1:89" s="46" customFormat="1" ht="16.5" customHeight="1" thickTop="1" x14ac:dyDescent="0.35">
      <c r="C39" s="8"/>
      <c r="D39" s="8"/>
      <c r="E39" s="8"/>
      <c r="F39" s="8"/>
      <c r="G39" s="8"/>
      <c r="H39" s="8"/>
      <c r="I39" s="8"/>
      <c r="J39" s="8"/>
      <c r="K39" s="239" t="s">
        <v>265</v>
      </c>
      <c r="L39" s="275"/>
      <c r="M39" s="276"/>
      <c r="N39" s="277"/>
      <c r="O39" s="277"/>
      <c r="P39" s="277"/>
      <c r="Q39" s="8"/>
      <c r="R39" s="177"/>
      <c r="S39" s="142"/>
      <c r="T39" s="178"/>
      <c r="U39" s="179"/>
      <c r="V39" s="180"/>
      <c r="W39" s="180"/>
      <c r="X39" s="180"/>
      <c r="Y39" s="136"/>
      <c r="Z39" s="136"/>
      <c r="AA39" s="136"/>
      <c r="AB39" s="136"/>
      <c r="AC39" s="136"/>
      <c r="AD39" s="136"/>
      <c r="AE39" s="136"/>
      <c r="AF39" s="136"/>
      <c r="AG39" s="136"/>
      <c r="AH39" s="57"/>
      <c r="AI39" s="181"/>
      <c r="AJ39" s="182"/>
      <c r="AK39" s="182"/>
      <c r="AL39" s="182"/>
      <c r="AM39" s="182"/>
      <c r="AN39" s="182"/>
      <c r="AO39" s="182"/>
      <c r="AP39" s="182"/>
      <c r="AQ39" s="182"/>
      <c r="AR39" s="182"/>
      <c r="AS39" s="182"/>
      <c r="AT39" s="182"/>
      <c r="AU39" s="182"/>
      <c r="AV39" s="182"/>
      <c r="AW39" s="182"/>
      <c r="AX39" s="182"/>
      <c r="AY39" s="182"/>
      <c r="AZ39" s="57"/>
      <c r="BA39" s="57"/>
      <c r="BB39" s="8"/>
      <c r="BC39" s="8"/>
      <c r="BD39" s="8"/>
      <c r="BG39" s="57"/>
      <c r="BH39" s="57"/>
      <c r="BI39" s="57"/>
      <c r="BJ39" s="57"/>
      <c r="BK39" s="57"/>
      <c r="BL39" s="57"/>
      <c r="BM39" s="57"/>
      <c r="BN39" s="57"/>
      <c r="BO39" s="57"/>
      <c r="BP39" s="57"/>
      <c r="BQ39" s="57"/>
      <c r="BR39" s="57"/>
      <c r="BS39" s="57"/>
      <c r="BT39" s="57"/>
      <c r="BU39" s="57"/>
      <c r="BV39" s="57"/>
      <c r="BW39" s="57"/>
      <c r="BX39" s="57"/>
      <c r="BY39" s="57"/>
      <c r="BZ39" s="57"/>
      <c r="CA39" s="57"/>
      <c r="CB39" s="57"/>
      <c r="CC39" s="57"/>
      <c r="CD39" s="57"/>
      <c r="CE39" s="57"/>
      <c r="CF39" s="57"/>
      <c r="CG39" s="57"/>
      <c r="CH39" s="57"/>
      <c r="CI39" s="57"/>
      <c r="CJ39" s="57"/>
      <c r="CK39" s="57"/>
    </row>
    <row r="40" spans="1:89" s="46" customFormat="1" ht="50.15" customHeight="1" x14ac:dyDescent="0.35">
      <c r="C40" s="8"/>
      <c r="D40" s="8"/>
      <c r="E40" s="8"/>
      <c r="F40" s="8"/>
      <c r="G40" s="8"/>
      <c r="H40" s="8"/>
      <c r="I40" s="8"/>
      <c r="J40" s="8"/>
      <c r="K40" s="8"/>
      <c r="L40" s="8"/>
      <c r="M40" s="8"/>
      <c r="N40" s="183"/>
      <c r="O40" s="139"/>
      <c r="P40" s="139"/>
      <c r="Q40" s="8"/>
      <c r="R40" s="177"/>
      <c r="S40" s="142"/>
      <c r="T40" s="178"/>
      <c r="U40" s="179"/>
      <c r="V40" s="180"/>
      <c r="W40" s="180"/>
      <c r="X40" s="180"/>
      <c r="Y40" s="136"/>
      <c r="Z40" s="136"/>
      <c r="AA40" s="136"/>
      <c r="AB40" s="136"/>
      <c r="AC40" s="136"/>
      <c r="AD40" s="136"/>
      <c r="AE40" s="136"/>
      <c r="AF40" s="136"/>
      <c r="AG40" s="136"/>
      <c r="AH40" s="57"/>
      <c r="AI40" s="181"/>
      <c r="AJ40" s="182"/>
      <c r="AK40" s="182"/>
      <c r="AL40" s="182"/>
      <c r="AM40" s="182"/>
      <c r="AN40" s="182"/>
      <c r="AO40" s="182"/>
      <c r="AP40" s="182"/>
      <c r="AQ40" s="182"/>
      <c r="AR40" s="182"/>
      <c r="AS40" s="182"/>
      <c r="AT40" s="182"/>
      <c r="AU40" s="182"/>
      <c r="AV40" s="182"/>
      <c r="AW40" s="182"/>
      <c r="AX40" s="182"/>
      <c r="AY40" s="182"/>
      <c r="AZ40" s="57"/>
      <c r="BA40" s="57"/>
      <c r="BB40" s="8"/>
      <c r="BC40" s="8"/>
      <c r="BD40" s="8"/>
      <c r="BG40" s="57"/>
      <c r="BH40" s="57"/>
      <c r="BI40" s="57"/>
      <c r="BJ40" s="57"/>
      <c r="BK40" s="57"/>
      <c r="BL40" s="57"/>
      <c r="BM40" s="57"/>
      <c r="BN40" s="57"/>
      <c r="BO40" s="57"/>
      <c r="BP40" s="57"/>
      <c r="BQ40" s="57"/>
      <c r="BR40" s="57"/>
      <c r="BS40" s="57"/>
      <c r="BT40" s="57"/>
      <c r="BU40" s="57"/>
      <c r="BV40" s="57"/>
      <c r="BW40" s="57"/>
      <c r="BX40" s="57"/>
      <c r="BY40" s="57"/>
      <c r="BZ40" s="57"/>
      <c r="CA40" s="57"/>
      <c r="CB40" s="57"/>
      <c r="CC40" s="57"/>
      <c r="CD40" s="57"/>
      <c r="CE40" s="57"/>
      <c r="CF40" s="57"/>
      <c r="CG40" s="57"/>
      <c r="CH40" s="57"/>
      <c r="CI40" s="57"/>
      <c r="CJ40" s="57"/>
      <c r="CK40" s="57"/>
    </row>
    <row r="41" spans="1:89" s="46" customFormat="1" ht="50.15" customHeight="1" x14ac:dyDescent="0.35">
      <c r="C41" s="8"/>
      <c r="D41" s="8"/>
      <c r="E41" s="8"/>
      <c r="F41" s="8"/>
      <c r="G41" s="8"/>
      <c r="H41" s="8"/>
      <c r="I41" s="8"/>
      <c r="J41" s="8"/>
      <c r="K41" s="8"/>
      <c r="L41" s="8"/>
      <c r="M41" s="8"/>
      <c r="N41" s="183"/>
      <c r="O41" s="139"/>
      <c r="P41" s="139"/>
      <c r="Q41" s="8"/>
      <c r="R41" s="177"/>
      <c r="S41" s="142"/>
      <c r="T41" s="178"/>
      <c r="U41" s="179"/>
      <c r="V41" s="180"/>
      <c r="W41" s="180"/>
      <c r="X41" s="180"/>
      <c r="Y41" s="136"/>
      <c r="Z41" s="136"/>
      <c r="AA41" s="136"/>
      <c r="AB41" s="136"/>
      <c r="AC41" s="136"/>
      <c r="AD41" s="136"/>
      <c r="AE41" s="136"/>
      <c r="AF41" s="136"/>
      <c r="AG41" s="136"/>
      <c r="AH41" s="57"/>
      <c r="AI41" s="181"/>
      <c r="AJ41" s="182"/>
      <c r="AK41" s="182"/>
      <c r="AL41" s="182"/>
      <c r="AM41" s="182"/>
      <c r="AN41" s="182"/>
      <c r="AO41" s="182"/>
      <c r="AP41" s="182"/>
      <c r="AQ41" s="182"/>
      <c r="AR41" s="182"/>
      <c r="AS41" s="182"/>
      <c r="AT41" s="182"/>
      <c r="AU41" s="182"/>
      <c r="AV41" s="182"/>
      <c r="AW41" s="182"/>
      <c r="AX41" s="182"/>
      <c r="AY41" s="182"/>
      <c r="AZ41" s="57"/>
      <c r="BA41" s="57"/>
      <c r="BB41" s="8"/>
      <c r="BC41" s="8"/>
      <c r="BD41" s="8"/>
      <c r="BG41" s="57"/>
      <c r="BH41" s="57"/>
      <c r="BI41" s="57"/>
      <c r="BJ41" s="57"/>
      <c r="BK41" s="57"/>
      <c r="BL41" s="57"/>
      <c r="BM41" s="57"/>
      <c r="BN41" s="57"/>
      <c r="BO41" s="57"/>
      <c r="BP41" s="57"/>
      <c r="BQ41" s="57"/>
      <c r="BR41" s="57"/>
      <c r="BS41" s="57"/>
      <c r="BT41" s="57"/>
      <c r="BU41" s="57"/>
      <c r="BV41" s="57"/>
      <c r="BW41" s="57"/>
      <c r="BX41" s="57"/>
      <c r="BY41" s="57"/>
      <c r="BZ41" s="57"/>
      <c r="CA41" s="57"/>
      <c r="CB41" s="57"/>
      <c r="CC41" s="57"/>
      <c r="CD41" s="57"/>
      <c r="CE41" s="57"/>
      <c r="CF41" s="57"/>
      <c r="CG41" s="57"/>
      <c r="CH41" s="57"/>
      <c r="CI41" s="57"/>
      <c r="CJ41" s="57"/>
      <c r="CK41" s="57"/>
    </row>
    <row r="42" spans="1:89" s="46" customFormat="1" ht="50.15" customHeight="1" x14ac:dyDescent="0.35">
      <c r="C42" s="8"/>
      <c r="D42" s="8"/>
      <c r="E42" s="8"/>
      <c r="F42" s="8"/>
      <c r="G42" s="8"/>
      <c r="H42" s="8"/>
      <c r="I42" s="8"/>
      <c r="J42" s="8"/>
      <c r="K42" s="8"/>
      <c r="L42" s="8"/>
      <c r="M42" s="8"/>
      <c r="N42" s="183"/>
      <c r="O42" s="139"/>
      <c r="P42" s="139"/>
      <c r="Q42" s="8"/>
      <c r="R42" s="177"/>
      <c r="S42" s="142"/>
      <c r="T42" s="178"/>
      <c r="U42" s="179"/>
      <c r="V42" s="180"/>
      <c r="W42" s="180"/>
      <c r="X42" s="180"/>
      <c r="Y42" s="136"/>
      <c r="Z42" s="136"/>
      <c r="AA42" s="136"/>
      <c r="AB42" s="136"/>
      <c r="AC42" s="136"/>
      <c r="AD42" s="136"/>
      <c r="AE42" s="136"/>
      <c r="AF42" s="136"/>
      <c r="AG42" s="136"/>
      <c r="AH42" s="57"/>
      <c r="AI42" s="181"/>
      <c r="AJ42" s="182"/>
      <c r="AK42" s="182"/>
      <c r="AL42" s="182"/>
      <c r="AM42" s="182"/>
      <c r="AN42" s="182"/>
      <c r="AO42" s="182"/>
      <c r="AP42" s="182"/>
      <c r="AQ42" s="182"/>
      <c r="AR42" s="182"/>
      <c r="AS42" s="182"/>
      <c r="AT42" s="182"/>
      <c r="AU42" s="182"/>
      <c r="AV42" s="182"/>
      <c r="AW42" s="182"/>
      <c r="AX42" s="182"/>
      <c r="AY42" s="182"/>
      <c r="AZ42" s="57"/>
      <c r="BA42" s="57"/>
      <c r="BB42" s="8"/>
      <c r="BC42" s="8"/>
      <c r="BD42" s="8"/>
      <c r="BG42" s="57"/>
      <c r="BH42" s="57"/>
      <c r="BI42" s="57"/>
      <c r="BJ42" s="57"/>
      <c r="BK42" s="57"/>
      <c r="BL42" s="57"/>
      <c r="BM42" s="57"/>
      <c r="BN42" s="57"/>
      <c r="BO42" s="57"/>
      <c r="BP42" s="57"/>
      <c r="BQ42" s="57"/>
      <c r="BR42" s="57"/>
      <c r="BS42" s="57"/>
      <c r="BT42" s="57"/>
      <c r="BU42" s="57"/>
      <c r="BV42" s="57"/>
      <c r="BW42" s="57"/>
      <c r="BX42" s="57"/>
      <c r="BY42" s="57"/>
      <c r="BZ42" s="57"/>
      <c r="CA42" s="57"/>
      <c r="CB42" s="57"/>
      <c r="CC42" s="57"/>
      <c r="CD42" s="57"/>
      <c r="CE42" s="57"/>
      <c r="CF42" s="57"/>
      <c r="CG42" s="57"/>
      <c r="CH42" s="57"/>
      <c r="CI42" s="57"/>
      <c r="CJ42" s="57"/>
      <c r="CK42" s="57"/>
    </row>
    <row r="43" spans="1:89" s="46" customFormat="1" ht="50.15" customHeight="1" x14ac:dyDescent="0.35">
      <c r="C43" s="8"/>
      <c r="D43" s="8"/>
      <c r="E43" s="8"/>
      <c r="F43" s="8"/>
      <c r="G43" s="8"/>
      <c r="H43" s="8"/>
      <c r="I43" s="8"/>
      <c r="J43" s="8"/>
      <c r="K43" s="8"/>
      <c r="L43" s="8"/>
      <c r="M43" s="8"/>
      <c r="N43" s="183"/>
      <c r="O43" s="139"/>
      <c r="P43" s="139"/>
      <c r="Q43" s="8"/>
      <c r="R43" s="177"/>
      <c r="S43" s="142"/>
      <c r="T43" s="178"/>
      <c r="U43" s="179"/>
      <c r="V43" s="180"/>
      <c r="W43" s="180"/>
      <c r="X43" s="180"/>
      <c r="Y43" s="136"/>
      <c r="Z43" s="136"/>
      <c r="AA43" s="136"/>
      <c r="AB43" s="136"/>
      <c r="AC43" s="136"/>
      <c r="AD43" s="136"/>
      <c r="AE43" s="136"/>
      <c r="AF43" s="136"/>
      <c r="AG43" s="136"/>
      <c r="AH43" s="57"/>
      <c r="AI43" s="181"/>
      <c r="AJ43" s="182"/>
      <c r="AK43" s="182"/>
      <c r="AL43" s="182"/>
      <c r="AM43" s="182"/>
      <c r="AN43" s="182"/>
      <c r="AO43" s="182"/>
      <c r="AP43" s="182"/>
      <c r="AQ43" s="182"/>
      <c r="AR43" s="182"/>
      <c r="AS43" s="182"/>
      <c r="AT43" s="182"/>
      <c r="AU43" s="182"/>
      <c r="AV43" s="182"/>
      <c r="AW43" s="182"/>
      <c r="AX43" s="182"/>
      <c r="AY43" s="182"/>
      <c r="AZ43" s="57"/>
      <c r="BA43" s="57"/>
      <c r="BB43" s="8"/>
      <c r="BC43" s="8"/>
      <c r="BD43" s="8"/>
      <c r="BG43" s="57"/>
      <c r="BH43" s="57"/>
      <c r="BI43" s="57"/>
      <c r="BJ43" s="57"/>
      <c r="BK43" s="57"/>
      <c r="BL43" s="57"/>
      <c r="BM43" s="57"/>
      <c r="BN43" s="57"/>
      <c r="BO43" s="57"/>
      <c r="BP43" s="57"/>
      <c r="BQ43" s="57"/>
      <c r="BR43" s="57"/>
      <c r="BS43" s="57"/>
      <c r="BT43" s="57"/>
      <c r="BU43" s="57"/>
      <c r="BV43" s="57"/>
      <c r="BW43" s="57"/>
      <c r="BX43" s="57"/>
      <c r="BY43" s="57"/>
      <c r="BZ43" s="57"/>
      <c r="CA43" s="57"/>
      <c r="CB43" s="57"/>
      <c r="CC43" s="57"/>
      <c r="CD43" s="57"/>
      <c r="CE43" s="57"/>
      <c r="CF43" s="57"/>
      <c r="CG43" s="57"/>
      <c r="CH43" s="57"/>
      <c r="CI43" s="57"/>
      <c r="CJ43" s="57"/>
      <c r="CK43" s="57"/>
    </row>
    <row r="44" spans="1:89" s="46" customFormat="1" ht="50.15" customHeight="1" x14ac:dyDescent="0.35">
      <c r="C44" s="8"/>
      <c r="D44" s="8"/>
      <c r="E44" s="8"/>
      <c r="F44" s="8"/>
      <c r="G44" s="8"/>
      <c r="H44" s="8"/>
      <c r="I44" s="8"/>
      <c r="J44" s="8"/>
      <c r="K44" s="8"/>
      <c r="L44" s="8"/>
      <c r="M44" s="8"/>
      <c r="N44" s="183"/>
      <c r="O44" s="139"/>
      <c r="P44" s="139"/>
      <c r="Q44" s="8"/>
      <c r="R44" s="177"/>
      <c r="S44" s="142"/>
      <c r="T44" s="178"/>
      <c r="U44" s="179"/>
      <c r="V44" s="180"/>
      <c r="W44" s="180"/>
      <c r="X44" s="180"/>
      <c r="Y44" s="136"/>
      <c r="Z44" s="136"/>
      <c r="AA44" s="136"/>
      <c r="AB44" s="136"/>
      <c r="AC44" s="136"/>
      <c r="AD44" s="136"/>
      <c r="AE44" s="136"/>
      <c r="AF44" s="136"/>
      <c r="AG44" s="136"/>
      <c r="AH44" s="57"/>
      <c r="AI44" s="181"/>
      <c r="AJ44" s="182"/>
      <c r="AK44" s="182"/>
      <c r="AL44" s="182"/>
      <c r="AM44" s="182"/>
      <c r="AN44" s="182"/>
      <c r="AO44" s="182"/>
      <c r="AP44" s="182"/>
      <c r="AQ44" s="182"/>
      <c r="AR44" s="182"/>
      <c r="AS44" s="182"/>
      <c r="AT44" s="182"/>
      <c r="AU44" s="182"/>
      <c r="AV44" s="182"/>
      <c r="AW44" s="182"/>
      <c r="AX44" s="182"/>
      <c r="AY44" s="182"/>
      <c r="AZ44" s="57"/>
      <c r="BA44" s="57"/>
      <c r="BB44" s="8"/>
      <c r="BC44" s="8"/>
      <c r="BD44" s="8"/>
      <c r="BG44" s="57"/>
      <c r="BH44" s="57"/>
      <c r="BI44" s="57"/>
      <c r="BJ44" s="57"/>
      <c r="BK44" s="57"/>
      <c r="BL44" s="57"/>
      <c r="BM44" s="57"/>
      <c r="BN44" s="57"/>
      <c r="BO44" s="57"/>
      <c r="BP44" s="57"/>
      <c r="BQ44" s="57"/>
      <c r="BR44" s="57"/>
      <c r="BS44" s="57"/>
      <c r="BT44" s="57"/>
      <c r="BU44" s="57"/>
      <c r="BV44" s="57"/>
      <c r="BW44" s="57"/>
      <c r="BX44" s="57"/>
      <c r="BY44" s="57"/>
      <c r="BZ44" s="57"/>
      <c r="CA44" s="57"/>
      <c r="CB44" s="57"/>
      <c r="CC44" s="57"/>
      <c r="CD44" s="57"/>
      <c r="CE44" s="57"/>
      <c r="CF44" s="57"/>
      <c r="CG44" s="57"/>
      <c r="CH44" s="57"/>
      <c r="CI44" s="57"/>
      <c r="CJ44" s="57"/>
      <c r="CK44" s="57"/>
    </row>
    <row r="45" spans="1:89" s="46" customFormat="1" ht="50.15" customHeight="1" x14ac:dyDescent="0.35">
      <c r="C45" s="8"/>
      <c r="D45" s="8"/>
      <c r="E45" s="8"/>
      <c r="F45" s="8"/>
      <c r="G45" s="8"/>
      <c r="H45" s="8"/>
      <c r="I45" s="8"/>
      <c r="J45" s="8"/>
      <c r="K45" s="8"/>
      <c r="L45" s="8"/>
      <c r="M45" s="8"/>
      <c r="N45" s="183"/>
      <c r="O45" s="139"/>
      <c r="P45" s="139"/>
      <c r="Q45" s="8"/>
      <c r="R45" s="177"/>
      <c r="S45" s="142"/>
      <c r="T45" s="178"/>
      <c r="U45" s="179"/>
      <c r="V45" s="180"/>
      <c r="W45" s="180"/>
      <c r="X45" s="180"/>
      <c r="Y45" s="136"/>
      <c r="Z45" s="136"/>
      <c r="AA45" s="136"/>
      <c r="AB45" s="136"/>
      <c r="AC45" s="136"/>
      <c r="AD45" s="136"/>
      <c r="AE45" s="136"/>
      <c r="AF45" s="136"/>
      <c r="AG45" s="136"/>
      <c r="AH45" s="57"/>
      <c r="AI45" s="181"/>
      <c r="AJ45" s="182"/>
      <c r="AK45" s="182"/>
      <c r="AL45" s="182"/>
      <c r="AM45" s="182"/>
      <c r="AN45" s="182"/>
      <c r="AO45" s="182"/>
      <c r="AP45" s="182"/>
      <c r="AQ45" s="182"/>
      <c r="AR45" s="182"/>
      <c r="AS45" s="182"/>
      <c r="AT45" s="182"/>
      <c r="AU45" s="182"/>
      <c r="AV45" s="182"/>
      <c r="AW45" s="182"/>
      <c r="AX45" s="182"/>
      <c r="AY45" s="182"/>
      <c r="AZ45" s="57"/>
      <c r="BA45" s="57"/>
      <c r="BB45" s="8"/>
      <c r="BC45" s="8"/>
      <c r="BD45" s="8"/>
      <c r="BG45" s="57"/>
      <c r="BH45" s="57"/>
      <c r="BI45" s="57"/>
      <c r="BJ45" s="57"/>
      <c r="BK45" s="57"/>
      <c r="BL45" s="57"/>
      <c r="BM45" s="57"/>
      <c r="BN45" s="57"/>
      <c r="BO45" s="57"/>
      <c r="BP45" s="57"/>
      <c r="BQ45" s="57"/>
      <c r="BR45" s="57"/>
      <c r="BS45" s="57"/>
      <c r="BT45" s="57"/>
      <c r="BU45" s="57"/>
      <c r="BV45" s="57"/>
      <c r="BW45" s="57"/>
      <c r="BX45" s="57"/>
      <c r="BY45" s="57"/>
      <c r="BZ45" s="57"/>
      <c r="CA45" s="57"/>
      <c r="CB45" s="57"/>
      <c r="CC45" s="57"/>
      <c r="CD45" s="57"/>
      <c r="CE45" s="57"/>
      <c r="CF45" s="57"/>
      <c r="CG45" s="57"/>
      <c r="CH45" s="57"/>
      <c r="CI45" s="57"/>
      <c r="CJ45" s="57"/>
      <c r="CK45" s="57"/>
    </row>
    <row r="46" spans="1:89" s="46" customFormat="1" ht="50.15" customHeight="1" x14ac:dyDescent="0.35">
      <c r="C46" s="8"/>
      <c r="D46" s="8"/>
      <c r="E46" s="8"/>
      <c r="F46" s="8"/>
      <c r="G46" s="8"/>
      <c r="H46" s="8"/>
      <c r="I46" s="8"/>
      <c r="J46" s="8"/>
      <c r="K46" s="8"/>
      <c r="L46" s="8"/>
      <c r="M46" s="8"/>
      <c r="N46" s="183"/>
      <c r="O46" s="139"/>
      <c r="P46" s="139"/>
      <c r="Q46" s="8"/>
      <c r="R46" s="177"/>
      <c r="S46" s="142"/>
      <c r="T46" s="178"/>
      <c r="U46" s="179"/>
      <c r="V46" s="180"/>
      <c r="W46" s="180"/>
      <c r="X46" s="180"/>
      <c r="Y46" s="136"/>
      <c r="Z46" s="136"/>
      <c r="AA46" s="136"/>
      <c r="AB46" s="136"/>
      <c r="AC46" s="136"/>
      <c r="AD46" s="136"/>
      <c r="AE46" s="136"/>
      <c r="AF46" s="136"/>
      <c r="AG46" s="136"/>
      <c r="AH46" s="57"/>
      <c r="AI46" s="181"/>
      <c r="AJ46" s="182"/>
      <c r="AK46" s="182"/>
      <c r="AL46" s="182"/>
      <c r="AM46" s="182"/>
      <c r="AN46" s="182"/>
      <c r="AO46" s="182"/>
      <c r="AP46" s="182"/>
      <c r="AQ46" s="182"/>
      <c r="AR46" s="182"/>
      <c r="AS46" s="182"/>
      <c r="AT46" s="182"/>
      <c r="AU46" s="182"/>
      <c r="AV46" s="182"/>
      <c r="AW46" s="182"/>
      <c r="AX46" s="182"/>
      <c r="AY46" s="182"/>
      <c r="AZ46" s="57"/>
      <c r="BA46" s="57"/>
      <c r="BB46" s="8"/>
      <c r="BC46" s="8"/>
      <c r="BD46" s="8"/>
      <c r="BG46" s="57"/>
      <c r="BH46" s="57"/>
      <c r="BI46" s="57"/>
      <c r="BJ46" s="57"/>
      <c r="BK46" s="57"/>
      <c r="BL46" s="57"/>
      <c r="BM46" s="57"/>
      <c r="BN46" s="57"/>
      <c r="BO46" s="57"/>
      <c r="BP46" s="57"/>
      <c r="BQ46" s="57"/>
      <c r="BR46" s="57"/>
      <c r="BS46" s="57"/>
      <c r="BT46" s="57"/>
      <c r="BU46" s="57"/>
      <c r="BV46" s="57"/>
      <c r="BW46" s="57"/>
      <c r="BX46" s="57"/>
      <c r="BY46" s="57"/>
      <c r="BZ46" s="57"/>
      <c r="CA46" s="57"/>
      <c r="CB46" s="57"/>
      <c r="CC46" s="57"/>
      <c r="CD46" s="57"/>
      <c r="CE46" s="57"/>
      <c r="CF46" s="57"/>
      <c r="CG46" s="57"/>
      <c r="CH46" s="57"/>
      <c r="CI46" s="57"/>
      <c r="CJ46" s="57"/>
      <c r="CK46" s="57"/>
    </row>
    <row r="47" spans="1:89" s="46" customFormat="1" ht="20.149999999999999" customHeight="1" x14ac:dyDescent="0.35">
      <c r="C47" s="8"/>
      <c r="D47" s="8"/>
      <c r="E47" s="8"/>
      <c r="F47" s="8"/>
      <c r="G47" s="8"/>
      <c r="H47" s="8"/>
      <c r="I47" s="8"/>
      <c r="J47" s="8"/>
      <c r="K47" s="8"/>
      <c r="L47" s="8"/>
      <c r="M47" s="8"/>
      <c r="N47" s="183"/>
      <c r="O47" s="139"/>
      <c r="P47" s="139"/>
      <c r="Q47" s="8"/>
      <c r="R47" s="177"/>
      <c r="S47" s="142"/>
      <c r="T47" s="178"/>
      <c r="U47" s="179"/>
      <c r="V47" s="180"/>
      <c r="W47" s="180"/>
      <c r="X47" s="180"/>
      <c r="Y47" s="33"/>
      <c r="Z47" s="33"/>
      <c r="AA47" s="33"/>
      <c r="AB47" s="33"/>
      <c r="AC47" s="33"/>
      <c r="AD47" s="136"/>
      <c r="AE47" s="136"/>
      <c r="AF47" s="136"/>
      <c r="AG47" s="136"/>
      <c r="AH47" s="57"/>
      <c r="AI47" s="181"/>
      <c r="AJ47" s="182"/>
      <c r="AK47" s="182"/>
      <c r="AL47" s="182"/>
      <c r="AM47" s="182"/>
      <c r="AN47" s="182"/>
      <c r="AO47" s="182"/>
      <c r="AP47" s="182"/>
      <c r="AQ47" s="182"/>
      <c r="AR47" s="182"/>
      <c r="AS47" s="182"/>
      <c r="AT47" s="182"/>
      <c r="AU47" s="182"/>
      <c r="AV47" s="182"/>
      <c r="AW47" s="182"/>
      <c r="AX47" s="182"/>
      <c r="AY47" s="182"/>
      <c r="AZ47" s="57"/>
      <c r="BA47" s="57"/>
      <c r="BB47" s="8"/>
      <c r="BC47" s="8"/>
      <c r="BD47" s="8"/>
      <c r="BG47" s="57"/>
      <c r="BH47" s="57"/>
      <c r="BI47" s="57"/>
      <c r="BJ47" s="57"/>
      <c r="BK47" s="57"/>
      <c r="BL47" s="57"/>
      <c r="BM47" s="57"/>
      <c r="BN47" s="57"/>
      <c r="BO47" s="57"/>
      <c r="BP47" s="57"/>
      <c r="BQ47" s="57"/>
      <c r="BR47" s="57"/>
      <c r="BS47" s="57"/>
      <c r="BT47" s="57"/>
      <c r="BU47" s="57"/>
      <c r="BV47" s="57"/>
      <c r="BW47" s="57"/>
      <c r="BX47" s="57"/>
      <c r="BY47" s="57"/>
      <c r="BZ47" s="57"/>
      <c r="CA47" s="57"/>
      <c r="CB47" s="57"/>
      <c r="CC47" s="57"/>
      <c r="CD47" s="57"/>
      <c r="CE47" s="57"/>
      <c r="CF47" s="57"/>
      <c r="CG47" s="57"/>
      <c r="CH47" s="57"/>
      <c r="CI47" s="57"/>
      <c r="CJ47" s="57"/>
      <c r="CK47" s="57"/>
    </row>
    <row r="48" spans="1:89" s="46" customFormat="1" ht="20.149999999999999" customHeight="1" x14ac:dyDescent="0.35">
      <c r="C48" s="8"/>
      <c r="D48" s="8"/>
      <c r="E48" s="8"/>
      <c r="F48" s="8"/>
      <c r="G48" s="8"/>
      <c r="H48" s="8"/>
      <c r="I48" s="8"/>
      <c r="J48" s="8"/>
      <c r="K48" s="8"/>
      <c r="L48" s="8"/>
      <c r="M48" s="8"/>
      <c r="N48" s="183"/>
      <c r="O48" s="139"/>
      <c r="P48" s="139"/>
      <c r="Q48" s="8"/>
      <c r="R48" s="177"/>
      <c r="S48" s="142"/>
      <c r="T48" s="178"/>
      <c r="U48" s="179"/>
      <c r="V48" s="180"/>
      <c r="W48" s="180"/>
      <c r="X48" s="180"/>
      <c r="Y48" s="33"/>
      <c r="Z48" s="33"/>
      <c r="AA48" s="33"/>
      <c r="AB48" s="33"/>
      <c r="AC48" s="33"/>
      <c r="AD48" s="136"/>
      <c r="AE48" s="136"/>
      <c r="AF48" s="136"/>
      <c r="AG48" s="136"/>
      <c r="AH48" s="57"/>
      <c r="AI48" s="181"/>
      <c r="AJ48" s="182"/>
      <c r="AK48" s="182"/>
      <c r="AL48" s="182"/>
      <c r="AM48" s="182"/>
      <c r="AN48" s="182"/>
      <c r="AO48" s="182"/>
      <c r="AP48" s="182"/>
      <c r="AQ48" s="182"/>
      <c r="AR48" s="182"/>
      <c r="AS48" s="182"/>
      <c r="AT48" s="182"/>
      <c r="AU48" s="182"/>
      <c r="AV48" s="182"/>
      <c r="AW48" s="182"/>
      <c r="AX48" s="182"/>
      <c r="AY48" s="182"/>
      <c r="AZ48" s="57"/>
      <c r="BA48" s="57"/>
      <c r="BB48" s="8"/>
      <c r="BC48" s="8"/>
      <c r="BD48" s="8"/>
      <c r="BG48" s="57"/>
      <c r="BH48" s="57"/>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row>
    <row r="49" spans="1:89" s="46" customFormat="1" ht="20.149999999999999" customHeight="1" x14ac:dyDescent="0.35">
      <c r="C49" s="8"/>
      <c r="D49" s="8"/>
      <c r="E49" s="8"/>
      <c r="F49" s="8"/>
      <c r="G49" s="8"/>
      <c r="H49" s="8"/>
      <c r="I49" s="8"/>
      <c r="J49" s="8"/>
      <c r="K49" s="8"/>
      <c r="L49" s="8"/>
      <c r="M49" s="8"/>
      <c r="N49" s="183"/>
      <c r="O49" s="139"/>
      <c r="P49" s="139"/>
      <c r="Q49" s="8"/>
      <c r="R49" s="177"/>
      <c r="S49" s="142"/>
      <c r="T49" s="178"/>
      <c r="U49" s="179"/>
      <c r="V49" s="180"/>
      <c r="W49" s="180"/>
      <c r="X49" s="180"/>
      <c r="Y49" s="33"/>
      <c r="Z49" s="33"/>
      <c r="AA49" s="33"/>
      <c r="AB49" s="33"/>
      <c r="AC49" s="33"/>
      <c r="AD49" s="136"/>
      <c r="AE49" s="136"/>
      <c r="AF49" s="136"/>
      <c r="AG49" s="136"/>
      <c r="AH49" s="57"/>
      <c r="AI49" s="181"/>
      <c r="AJ49" s="182"/>
      <c r="AK49" s="182"/>
      <c r="AL49" s="182"/>
      <c r="AM49" s="182"/>
      <c r="AN49" s="182"/>
      <c r="AO49" s="182"/>
      <c r="AP49" s="182"/>
      <c r="AQ49" s="182"/>
      <c r="AR49" s="182"/>
      <c r="AS49" s="182"/>
      <c r="AT49" s="182"/>
      <c r="AU49" s="182"/>
      <c r="AV49" s="182"/>
      <c r="AW49" s="182"/>
      <c r="AX49" s="182"/>
      <c r="AY49" s="182"/>
      <c r="AZ49" s="57"/>
      <c r="BA49" s="57"/>
      <c r="BB49" s="8"/>
      <c r="BC49" s="8"/>
      <c r="BD49" s="8"/>
      <c r="BG49" s="57"/>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row>
    <row r="50" spans="1:89" s="46" customFormat="1" ht="20.149999999999999" customHeight="1" x14ac:dyDescent="0.35">
      <c r="C50" s="8"/>
      <c r="D50" s="8"/>
      <c r="E50" s="8"/>
      <c r="F50" s="8"/>
      <c r="G50" s="8"/>
      <c r="H50" s="8"/>
      <c r="I50" s="8"/>
      <c r="J50" s="8"/>
      <c r="K50" s="8"/>
      <c r="L50" s="8"/>
      <c r="M50" s="8"/>
      <c r="N50" s="183"/>
      <c r="O50" s="139"/>
      <c r="P50" s="139"/>
      <c r="Q50" s="8"/>
      <c r="R50" s="177"/>
      <c r="S50" s="142"/>
      <c r="T50" s="178"/>
      <c r="U50" s="179"/>
      <c r="V50" s="180"/>
      <c r="W50" s="180"/>
      <c r="X50" s="180"/>
      <c r="Y50" s="33"/>
      <c r="Z50" s="33"/>
      <c r="AA50" s="33"/>
      <c r="AB50" s="33"/>
      <c r="AC50" s="33"/>
      <c r="AD50" s="136"/>
      <c r="AE50" s="136"/>
      <c r="AF50" s="136"/>
      <c r="AG50" s="136"/>
      <c r="AH50" s="57"/>
      <c r="AI50" s="181"/>
      <c r="AJ50" s="182"/>
      <c r="AK50" s="182"/>
      <c r="AL50" s="182"/>
      <c r="AM50" s="182"/>
      <c r="AN50" s="182"/>
      <c r="AO50" s="182"/>
      <c r="AP50" s="182"/>
      <c r="AQ50" s="182"/>
      <c r="AR50" s="182"/>
      <c r="AS50" s="182"/>
      <c r="AT50" s="182"/>
      <c r="AU50" s="182"/>
      <c r="AV50" s="182"/>
      <c r="AW50" s="182"/>
      <c r="AX50" s="182"/>
      <c r="AY50" s="182"/>
      <c r="AZ50" s="57"/>
      <c r="BA50" s="57"/>
      <c r="BB50" s="8"/>
      <c r="BC50" s="8"/>
      <c r="BD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row>
    <row r="51" spans="1:89" s="8" customFormat="1" ht="15" customHeight="1" x14ac:dyDescent="0.35">
      <c r="N51" s="183"/>
      <c r="O51" s="139"/>
      <c r="P51" s="139"/>
      <c r="R51" s="177"/>
      <c r="S51" s="142"/>
      <c r="T51" s="178"/>
      <c r="U51" s="179"/>
      <c r="V51" s="180"/>
      <c r="W51" s="180"/>
      <c r="X51" s="180"/>
      <c r="Y51" s="33"/>
      <c r="Z51" s="33"/>
      <c r="AA51" s="33"/>
      <c r="AB51" s="33"/>
      <c r="AC51" s="33"/>
      <c r="AD51" s="136"/>
      <c r="AE51" s="136"/>
      <c r="AF51" s="136"/>
      <c r="AG51" s="136"/>
      <c r="AH51" s="57"/>
      <c r="AI51" s="181"/>
      <c r="AJ51" s="182"/>
      <c r="AK51" s="182"/>
      <c r="AL51" s="182"/>
      <c r="AM51" s="182"/>
      <c r="AN51" s="182"/>
      <c r="AO51" s="182"/>
      <c r="AP51" s="182"/>
      <c r="AQ51" s="182"/>
      <c r="AR51" s="182"/>
      <c r="AS51" s="182"/>
      <c r="AT51" s="182"/>
      <c r="AU51" s="182"/>
      <c r="AV51" s="182"/>
      <c r="AW51" s="182"/>
      <c r="AX51" s="182"/>
      <c r="AY51" s="182"/>
      <c r="AZ51" s="57"/>
      <c r="BA51" s="57"/>
      <c r="BE51" s="46"/>
      <c r="BF51" s="46"/>
      <c r="BG51" s="46"/>
      <c r="BH51" s="46"/>
      <c r="BI51" s="46"/>
    </row>
    <row r="52" spans="1:89" s="8" customFormat="1" ht="15" customHeight="1" x14ac:dyDescent="0.35">
      <c r="N52" s="183"/>
      <c r="O52" s="139"/>
      <c r="P52" s="139"/>
      <c r="R52" s="177"/>
      <c r="S52" s="142"/>
      <c r="T52" s="178"/>
      <c r="U52" s="179"/>
      <c r="V52" s="180"/>
      <c r="W52" s="180"/>
      <c r="X52" s="180"/>
      <c r="Y52" s="33"/>
      <c r="Z52" s="33"/>
      <c r="AA52" s="33"/>
      <c r="AB52" s="33"/>
      <c r="AC52" s="33"/>
      <c r="AD52" s="136"/>
      <c r="AE52" s="136"/>
      <c r="AF52" s="136"/>
      <c r="AG52" s="136"/>
      <c r="AH52" s="57"/>
      <c r="AI52" s="181"/>
      <c r="AJ52" s="182"/>
      <c r="AK52" s="182"/>
      <c r="AL52" s="182"/>
      <c r="AM52" s="182"/>
      <c r="AN52" s="182"/>
      <c r="AO52" s="182"/>
      <c r="AP52" s="182"/>
      <c r="AQ52" s="182"/>
      <c r="AR52" s="182"/>
      <c r="AS52" s="182"/>
      <c r="AT52" s="182"/>
      <c r="AU52" s="182"/>
      <c r="AV52" s="182"/>
      <c r="AW52" s="182"/>
      <c r="AX52" s="182"/>
      <c r="AY52" s="182"/>
      <c r="AZ52" s="57"/>
      <c r="BA52" s="57"/>
      <c r="BE52" s="46"/>
      <c r="BF52" s="46"/>
      <c r="BG52" s="46"/>
      <c r="BH52" s="46"/>
      <c r="BI52" s="46"/>
    </row>
    <row r="53" spans="1:89" s="8" customFormat="1" ht="15" customHeight="1" x14ac:dyDescent="0.35">
      <c r="N53" s="183"/>
      <c r="O53" s="139"/>
      <c r="P53" s="139"/>
      <c r="R53" s="177"/>
      <c r="S53" s="142"/>
      <c r="T53" s="178"/>
      <c r="U53" s="179"/>
      <c r="V53" s="180"/>
      <c r="W53" s="180"/>
      <c r="X53" s="180"/>
      <c r="Y53" s="33"/>
      <c r="Z53" s="33"/>
      <c r="AA53" s="33"/>
      <c r="AB53" s="33"/>
      <c r="AC53" s="33"/>
      <c r="AD53" s="136"/>
      <c r="AE53" s="136"/>
      <c r="AF53" s="136"/>
      <c r="AG53" s="136"/>
      <c r="AH53" s="57"/>
      <c r="AI53" s="181"/>
      <c r="AJ53" s="182"/>
      <c r="AK53" s="182"/>
      <c r="AL53" s="182"/>
      <c r="AM53" s="182"/>
      <c r="AN53" s="182"/>
      <c r="AO53" s="182"/>
      <c r="AP53" s="182"/>
      <c r="AQ53" s="182"/>
      <c r="AR53" s="182"/>
      <c r="AS53" s="182"/>
      <c r="AT53" s="182"/>
      <c r="AU53" s="182"/>
      <c r="AV53" s="182"/>
      <c r="AW53" s="182"/>
      <c r="AX53" s="182"/>
      <c r="AY53" s="182"/>
      <c r="AZ53" s="57"/>
      <c r="BA53" s="57"/>
      <c r="BE53" s="46"/>
      <c r="BF53" s="46"/>
      <c r="BG53" s="46"/>
      <c r="BH53" s="46"/>
      <c r="BI53" s="46"/>
    </row>
    <row r="54" spans="1:89" s="8" customFormat="1" ht="15" customHeight="1" x14ac:dyDescent="0.35">
      <c r="N54" s="183"/>
      <c r="O54" s="139"/>
      <c r="P54" s="139"/>
      <c r="R54" s="177"/>
      <c r="S54" s="142"/>
      <c r="T54" s="178"/>
      <c r="U54" s="179"/>
      <c r="V54" s="180"/>
      <c r="W54" s="180"/>
      <c r="X54" s="180"/>
      <c r="Y54" s="33"/>
      <c r="Z54" s="33"/>
      <c r="AA54" s="33"/>
      <c r="AB54" s="33"/>
      <c r="AC54" s="33"/>
      <c r="AD54" s="136"/>
      <c r="AE54" s="136"/>
      <c r="AF54" s="136"/>
      <c r="AG54" s="136"/>
      <c r="AH54" s="57"/>
      <c r="AI54" s="181"/>
      <c r="AJ54" s="182"/>
      <c r="AK54" s="182"/>
      <c r="AL54" s="182"/>
      <c r="AM54" s="182"/>
      <c r="AN54" s="182"/>
      <c r="AO54" s="182"/>
      <c r="AP54" s="182"/>
      <c r="AQ54" s="182"/>
      <c r="AR54" s="182"/>
      <c r="AS54" s="182"/>
      <c r="AT54" s="182"/>
      <c r="AU54" s="182"/>
      <c r="AV54" s="182"/>
      <c r="AW54" s="182"/>
      <c r="AX54" s="182"/>
      <c r="AY54" s="182"/>
      <c r="AZ54" s="57"/>
      <c r="BA54" s="57"/>
      <c r="BE54" s="46"/>
      <c r="BF54" s="46"/>
      <c r="BG54" s="46"/>
      <c r="BH54" s="46"/>
      <c r="BI54" s="46"/>
    </row>
    <row r="55" spans="1:89" s="8" customFormat="1" ht="15" customHeight="1" x14ac:dyDescent="0.35">
      <c r="A55" s="8" t="s">
        <v>175</v>
      </c>
      <c r="R55" s="184"/>
      <c r="Z55" s="33"/>
      <c r="AA55" s="33"/>
      <c r="AB55" s="33"/>
      <c r="AC55" s="33"/>
      <c r="AE55" s="46"/>
      <c r="AF55" s="46"/>
      <c r="AH55" s="182"/>
      <c r="AI55" s="182"/>
      <c r="AJ55" s="182"/>
      <c r="AK55" s="182"/>
      <c r="AL55" s="182"/>
      <c r="AM55" s="182"/>
      <c r="AN55" s="182"/>
      <c r="AO55" s="182"/>
      <c r="AP55" s="182"/>
      <c r="AQ55" s="182"/>
      <c r="AR55" s="182"/>
      <c r="AS55" s="182"/>
      <c r="AT55" s="182"/>
      <c r="AU55" s="182"/>
      <c r="AV55" s="182"/>
      <c r="AW55" s="182"/>
      <c r="AX55" s="182"/>
      <c r="AY55" s="182"/>
      <c r="AZ55" s="57"/>
      <c r="BA55" s="57"/>
      <c r="BE55" s="46"/>
      <c r="BF55" s="46"/>
      <c r="BG55" s="46"/>
      <c r="BH55" s="46"/>
      <c r="BI55" s="46"/>
    </row>
    <row r="56" spans="1:89" s="8" customFormat="1" ht="15" customHeight="1" x14ac:dyDescent="0.35">
      <c r="A56" s="185">
        <f>T68/(T68+T67)</f>
        <v>4.3754115041599331E-2</v>
      </c>
      <c r="B56" s="185"/>
      <c r="C56" s="15"/>
      <c r="R56" s="184"/>
      <c r="Z56" s="33"/>
      <c r="AA56" s="33"/>
      <c r="AB56" s="33"/>
      <c r="AC56" s="33"/>
      <c r="AD56" s="186"/>
      <c r="AE56" s="46"/>
      <c r="AF56" s="46"/>
      <c r="AH56" s="182"/>
      <c r="AI56" s="182"/>
      <c r="AJ56" s="182"/>
      <c r="AK56" s="182"/>
      <c r="AL56" s="182"/>
      <c r="AM56" s="182"/>
      <c r="AN56" s="182"/>
      <c r="AO56" s="182"/>
      <c r="AP56" s="182"/>
      <c r="AQ56" s="182"/>
      <c r="AR56" s="182"/>
      <c r="AS56" s="182"/>
      <c r="AT56" s="182"/>
      <c r="AU56" s="182"/>
      <c r="AV56" s="182"/>
      <c r="AW56" s="182"/>
      <c r="AX56" s="182"/>
      <c r="AY56" s="182"/>
      <c r="AZ56" s="57"/>
      <c r="BA56" s="57"/>
      <c r="BE56" s="46"/>
      <c r="BF56" s="46"/>
      <c r="BG56" s="46"/>
      <c r="BH56" s="46"/>
      <c r="BI56" s="46"/>
    </row>
    <row r="57" spans="1:89" s="8" customFormat="1" x14ac:dyDescent="0.35">
      <c r="A57" s="6"/>
      <c r="B57" s="6"/>
      <c r="C57" s="6"/>
      <c r="D57" s="16"/>
      <c r="E57" s="16"/>
      <c r="F57" s="16"/>
      <c r="G57" s="16"/>
      <c r="H57" s="16"/>
      <c r="AD57" s="186"/>
      <c r="AE57" s="46"/>
      <c r="AF57" s="46"/>
      <c r="AH57" s="182"/>
      <c r="AI57" s="182"/>
      <c r="AJ57" s="187"/>
      <c r="AK57" s="187"/>
      <c r="AL57" s="187"/>
      <c r="AM57" s="187"/>
      <c r="AN57" s="187"/>
      <c r="AO57" s="187"/>
      <c r="AP57" s="187"/>
      <c r="AQ57" s="187"/>
      <c r="AR57" s="187"/>
      <c r="AS57" s="187"/>
      <c r="AT57" s="187"/>
      <c r="AU57" s="187"/>
      <c r="AV57" s="187"/>
      <c r="AW57" s="187"/>
      <c r="AX57" s="187"/>
      <c r="AY57" s="187"/>
      <c r="AZ57" s="27"/>
      <c r="BA57" s="27"/>
      <c r="BB57" s="16"/>
      <c r="BC57" s="16"/>
      <c r="BD57" s="16"/>
      <c r="BE57" s="32"/>
      <c r="BF57" s="32"/>
      <c r="BG57" s="32"/>
      <c r="BH57" s="32"/>
      <c r="BI57" s="175"/>
      <c r="BJ57"/>
      <c r="BK57"/>
      <c r="BL57"/>
      <c r="BM57"/>
    </row>
    <row r="58" spans="1:89" s="8" customFormat="1" ht="15.5" x14ac:dyDescent="0.35">
      <c r="A58" s="6">
        <f>A56*1000</f>
        <v>43.754115041599334</v>
      </c>
      <c r="B58" s="6"/>
      <c r="C58" s="6" t="s">
        <v>176</v>
      </c>
      <c r="D58" s="16"/>
      <c r="E58" s="16"/>
      <c r="F58" s="16"/>
      <c r="G58" s="16"/>
      <c r="H58" s="16"/>
      <c r="N58" s="16"/>
      <c r="O58" s="16" t="s">
        <v>177</v>
      </c>
      <c r="P58" s="16"/>
      <c r="Q58" s="16"/>
      <c r="R58" s="16"/>
      <c r="S58" s="16"/>
      <c r="T58" s="16"/>
      <c r="U58" s="16"/>
      <c r="V58" s="16"/>
      <c r="W58" s="16"/>
      <c r="X58" s="16"/>
      <c r="Y58" s="16"/>
      <c r="Z58" s="188"/>
      <c r="AA58" s="33"/>
      <c r="AB58" s="33"/>
      <c r="AC58" s="33"/>
      <c r="AD58" s="189"/>
      <c r="AE58" s="32"/>
      <c r="AF58" s="32"/>
      <c r="AH58" s="187"/>
      <c r="AI58" s="187"/>
      <c r="AJ58" s="187"/>
      <c r="AK58" s="187"/>
      <c r="AL58" s="187"/>
      <c r="AM58" s="187"/>
      <c r="AN58" s="187"/>
      <c r="AO58" s="187"/>
      <c r="AP58" s="187"/>
      <c r="AQ58" s="187"/>
      <c r="AR58" s="187"/>
      <c r="AS58" s="187"/>
      <c r="AT58" s="187"/>
      <c r="AU58" s="187"/>
      <c r="AV58" s="187"/>
      <c r="AW58" s="187"/>
      <c r="AX58" s="187"/>
      <c r="AY58" s="187"/>
      <c r="AZ58" s="27"/>
      <c r="BA58" s="27"/>
      <c r="BB58" s="16"/>
      <c r="BC58" s="16"/>
      <c r="BD58" s="16"/>
      <c r="BE58" s="32"/>
      <c r="BF58" s="32"/>
      <c r="BG58" s="32"/>
      <c r="BH58" s="32"/>
      <c r="BI58" s="175"/>
      <c r="BJ58"/>
      <c r="BK58"/>
      <c r="BL58"/>
      <c r="BM58"/>
    </row>
    <row r="59" spans="1:89" s="8" customFormat="1" ht="15.5" x14ac:dyDescent="0.35">
      <c r="A59" s="16">
        <f>T70/Y68</f>
        <v>6.344645956784583</v>
      </c>
      <c r="B59" s="16"/>
      <c r="C59" s="16" t="s">
        <v>178</v>
      </c>
      <c r="D59" s="16"/>
      <c r="E59" s="16"/>
      <c r="F59" s="16"/>
      <c r="G59" s="16"/>
      <c r="H59" s="16"/>
      <c r="I59" s="16"/>
      <c r="J59" s="16"/>
      <c r="K59" s="16"/>
      <c r="L59" s="16"/>
      <c r="M59" s="16"/>
      <c r="N59" s="16"/>
      <c r="O59" s="16"/>
      <c r="P59" s="16"/>
      <c r="Q59" s="16"/>
      <c r="R59" s="16"/>
      <c r="S59" s="16"/>
      <c r="T59" s="16"/>
      <c r="U59" s="16"/>
      <c r="V59" s="16"/>
      <c r="W59" s="16"/>
      <c r="X59" s="16"/>
      <c r="Y59" s="16"/>
      <c r="Z59" s="188"/>
      <c r="AA59" s="33"/>
      <c r="AB59" s="33"/>
      <c r="AC59" s="33"/>
      <c r="AD59" s="189"/>
      <c r="AE59" s="32"/>
      <c r="AF59" s="32"/>
      <c r="AH59" s="187"/>
      <c r="AI59" s="187"/>
      <c r="AJ59" s="187"/>
      <c r="AK59" s="187"/>
      <c r="AL59" s="187"/>
      <c r="AM59" s="187"/>
      <c r="AN59" s="187"/>
      <c r="AO59" s="187"/>
      <c r="AP59" s="187"/>
      <c r="AQ59" s="187"/>
      <c r="AR59" s="187"/>
      <c r="AS59" s="187"/>
      <c r="AT59" s="187"/>
      <c r="AU59" s="187"/>
      <c r="AV59" s="187"/>
      <c r="AW59" s="187"/>
      <c r="AX59" s="187"/>
      <c r="AY59" s="187"/>
      <c r="AZ59" s="27"/>
      <c r="BA59" s="27"/>
      <c r="BB59" s="16"/>
      <c r="BC59" s="16"/>
      <c r="BD59" s="16"/>
      <c r="BE59" s="32"/>
      <c r="BF59" s="32"/>
      <c r="BG59" s="32"/>
      <c r="BH59" s="32"/>
      <c r="BI59" s="175"/>
      <c r="BJ59"/>
      <c r="BK59"/>
      <c r="BL59"/>
      <c r="BM59"/>
    </row>
    <row r="60" spans="1:89" s="8" customFormat="1" x14ac:dyDescent="0.35">
      <c r="A60" s="16"/>
      <c r="B60" s="16"/>
      <c r="C60" s="16"/>
      <c r="D60" s="16"/>
      <c r="E60" s="16"/>
      <c r="F60" s="16"/>
      <c r="G60" s="16"/>
      <c r="H60" s="16"/>
      <c r="I60" s="16"/>
      <c r="J60" s="16"/>
      <c r="K60" s="16"/>
      <c r="L60" s="16"/>
      <c r="M60" s="16"/>
      <c r="N60" s="16"/>
      <c r="O60" s="16"/>
      <c r="P60" s="16"/>
      <c r="Q60" s="16"/>
      <c r="R60" s="190" t="s">
        <v>179</v>
      </c>
      <c r="S60" s="16"/>
      <c r="T60" s="16"/>
      <c r="U60" s="16"/>
      <c r="V60" s="16"/>
      <c r="W60" s="16"/>
      <c r="X60" s="16"/>
      <c r="Y60" s="16"/>
      <c r="Z60" s="16"/>
      <c r="AD60" s="16"/>
      <c r="AE60" s="16"/>
      <c r="AF60" s="16"/>
      <c r="AH60" s="187"/>
      <c r="AI60" s="187"/>
      <c r="AJ60" s="187"/>
      <c r="AK60" s="187"/>
      <c r="AL60" s="187"/>
      <c r="AM60" s="187"/>
      <c r="AN60" s="187"/>
      <c r="AO60" s="187"/>
      <c r="AP60" s="187"/>
      <c r="AQ60" s="187"/>
      <c r="AR60" s="187"/>
      <c r="AS60" s="187"/>
      <c r="AT60" s="187"/>
      <c r="AU60" s="187"/>
      <c r="AV60" s="187"/>
      <c r="AW60" s="187"/>
      <c r="AX60" s="187"/>
      <c r="AY60" s="187"/>
      <c r="AZ60" s="27"/>
      <c r="BA60" s="27"/>
      <c r="BB60" s="16"/>
      <c r="BC60" s="16"/>
      <c r="BD60" s="16"/>
      <c r="BE60" s="32"/>
      <c r="BF60" s="32"/>
      <c r="BG60" s="32"/>
      <c r="BH60" s="32"/>
      <c r="BI60" s="175"/>
      <c r="BJ60"/>
      <c r="BK60"/>
      <c r="BL60"/>
      <c r="BM60"/>
    </row>
    <row r="61" spans="1:89" s="8" customFormat="1" x14ac:dyDescent="0.35">
      <c r="A61" s="16"/>
      <c r="B61" s="16"/>
      <c r="C61" s="16"/>
      <c r="D61" s="16"/>
      <c r="E61" s="16"/>
      <c r="F61" s="16"/>
      <c r="G61" s="16"/>
      <c r="H61" s="16"/>
      <c r="I61" s="16"/>
      <c r="J61" s="16"/>
      <c r="K61" s="16"/>
      <c r="L61" s="16"/>
      <c r="M61" s="16"/>
      <c r="N61" s="16"/>
      <c r="O61" s="16"/>
      <c r="P61" s="16"/>
      <c r="Q61" s="16"/>
      <c r="R61" s="16"/>
      <c r="S61" s="191" t="s">
        <v>180</v>
      </c>
      <c r="T61" s="191">
        <f>A58/(S13*10)</f>
        <v>26.679338439999601</v>
      </c>
      <c r="U61" s="192" t="s">
        <v>181</v>
      </c>
      <c r="V61" s="192"/>
      <c r="W61" s="192"/>
      <c r="X61" s="192"/>
      <c r="Y61" s="16"/>
      <c r="Z61" s="193"/>
      <c r="AA61" s="26"/>
      <c r="AB61" s="26"/>
      <c r="AC61" s="26"/>
      <c r="AD61" s="16"/>
      <c r="AE61" s="16"/>
      <c r="AF61" s="16"/>
      <c r="AH61" s="187"/>
      <c r="AI61" s="187"/>
      <c r="AJ61" s="187"/>
      <c r="AK61" s="187"/>
      <c r="AL61" s="187"/>
      <c r="AM61" s="187"/>
      <c r="AN61" s="187"/>
      <c r="AO61" s="187"/>
      <c r="AP61" s="187"/>
      <c r="AQ61" s="187"/>
      <c r="AR61" s="187"/>
      <c r="AS61" s="187"/>
      <c r="AT61" s="187"/>
      <c r="AU61" s="187"/>
      <c r="AV61" s="187"/>
      <c r="AW61" s="187"/>
      <c r="AX61" s="187"/>
      <c r="AY61" s="187"/>
      <c r="AZ61" s="27"/>
      <c r="BA61" s="27"/>
      <c r="BB61" s="16"/>
      <c r="BC61" s="16"/>
      <c r="BD61" s="16"/>
      <c r="BE61" s="32"/>
      <c r="BF61" s="32"/>
      <c r="BG61" s="32"/>
      <c r="BH61" s="32"/>
      <c r="BI61" s="175"/>
      <c r="BJ61"/>
      <c r="BK61"/>
      <c r="BL61"/>
      <c r="BM61"/>
    </row>
    <row r="62" spans="1:89" s="8" customFormat="1" x14ac:dyDescent="0.35">
      <c r="A62" s="16"/>
      <c r="B62" s="16"/>
      <c r="C62" s="16"/>
      <c r="D62" s="16"/>
      <c r="E62" s="16"/>
      <c r="F62" s="16"/>
      <c r="G62" s="16"/>
      <c r="H62" s="16"/>
      <c r="I62" s="16"/>
      <c r="J62" s="16"/>
      <c r="K62" s="16"/>
      <c r="L62" s="16"/>
      <c r="M62" s="16"/>
      <c r="N62" s="16"/>
      <c r="O62" s="16"/>
      <c r="P62" s="16"/>
      <c r="Q62" s="16"/>
      <c r="R62" s="16"/>
      <c r="S62" s="191" t="s">
        <v>182</v>
      </c>
      <c r="T62" s="191">
        <f>((T67+T68)/1000*T61)</f>
        <v>44.573170731707329</v>
      </c>
      <c r="U62" s="191"/>
      <c r="V62" s="191"/>
      <c r="W62" s="191"/>
      <c r="X62" s="191"/>
      <c r="Y62" s="193"/>
      <c r="Z62" s="193"/>
      <c r="AA62" s="26"/>
      <c r="AB62" s="26"/>
      <c r="AC62" s="26"/>
      <c r="AD62" s="16"/>
      <c r="AE62" s="16"/>
      <c r="AF62" s="16"/>
      <c r="AG62" s="16"/>
      <c r="AH62" s="187"/>
      <c r="AI62" s="187"/>
      <c r="AJ62" s="187"/>
      <c r="AK62" s="187"/>
      <c r="AL62" s="187"/>
      <c r="AM62" s="187"/>
      <c r="AN62" s="187"/>
      <c r="AO62" s="187"/>
      <c r="AP62" s="187"/>
      <c r="AQ62" s="187"/>
      <c r="AR62" s="187"/>
      <c r="AS62" s="187"/>
      <c r="AT62" s="187"/>
      <c r="AU62" s="187"/>
      <c r="AV62" s="187"/>
      <c r="AW62" s="187"/>
      <c r="AX62" s="187"/>
      <c r="AY62" s="187"/>
      <c r="AZ62" s="27"/>
      <c r="BA62" s="27"/>
      <c r="BB62" s="16"/>
      <c r="BC62" s="16"/>
      <c r="BD62" s="16"/>
      <c r="BE62" s="32"/>
      <c r="BF62" s="32"/>
      <c r="BG62" s="32"/>
      <c r="BH62" s="32"/>
      <c r="BI62" s="175"/>
      <c r="BJ62"/>
      <c r="BK62"/>
      <c r="BL62"/>
      <c r="BM62"/>
    </row>
    <row r="63" spans="1:89" s="8" customFormat="1" x14ac:dyDescent="0.35">
      <c r="A63" s="16"/>
      <c r="B63" s="16"/>
      <c r="C63" s="16"/>
      <c r="D63" s="16"/>
      <c r="E63" s="16"/>
      <c r="F63" s="16"/>
      <c r="G63" s="16"/>
      <c r="H63" s="16"/>
      <c r="I63" s="16"/>
      <c r="J63" s="16"/>
      <c r="K63" s="16"/>
      <c r="L63" s="16"/>
      <c r="M63" s="16"/>
      <c r="N63" s="16"/>
      <c r="O63" s="16"/>
      <c r="P63" s="16"/>
      <c r="Q63" s="16"/>
      <c r="R63" s="16"/>
      <c r="S63" s="16"/>
      <c r="T63" s="16"/>
      <c r="U63" s="16"/>
      <c r="V63" s="16"/>
      <c r="W63" s="16"/>
      <c r="X63" s="16"/>
      <c r="Y63" s="193"/>
      <c r="Z63" s="193"/>
      <c r="AA63" s="26"/>
      <c r="AB63" s="26"/>
      <c r="AC63" s="26"/>
      <c r="AD63" s="16"/>
      <c r="AE63" s="16"/>
      <c r="AF63" s="16"/>
      <c r="AG63" s="16"/>
      <c r="AH63" s="187"/>
      <c r="AI63" s="187"/>
      <c r="AJ63" s="187"/>
      <c r="AK63" s="187"/>
      <c r="AL63" s="187"/>
      <c r="AM63" s="187"/>
      <c r="AN63" s="187"/>
      <c r="AO63" s="187"/>
      <c r="AP63" s="187"/>
      <c r="AQ63" s="187"/>
      <c r="AR63" s="187"/>
      <c r="AS63" s="187"/>
      <c r="AT63" s="187"/>
      <c r="AU63" s="187"/>
      <c r="AV63" s="187"/>
      <c r="AW63" s="187"/>
      <c r="AX63" s="187"/>
      <c r="AY63" s="187"/>
      <c r="AZ63" s="27"/>
      <c r="BA63" s="27"/>
      <c r="BB63" s="16"/>
      <c r="BC63" s="16"/>
      <c r="BD63" s="16"/>
      <c r="BE63" s="32"/>
      <c r="BF63" s="32"/>
      <c r="BG63" s="32"/>
      <c r="BH63" s="32"/>
      <c r="BI63" s="175"/>
      <c r="BJ63"/>
      <c r="BK63"/>
      <c r="BL63"/>
      <c r="BM63"/>
    </row>
    <row r="64" spans="1:89" s="8" customFormat="1" x14ac:dyDescent="0.35">
      <c r="A64" s="16"/>
      <c r="B64" s="16"/>
      <c r="C64" s="16"/>
      <c r="D64" s="16"/>
      <c r="E64" s="16"/>
      <c r="F64" s="16"/>
      <c r="G64" s="16"/>
      <c r="H64" s="16"/>
      <c r="I64" s="16"/>
      <c r="J64" s="16"/>
      <c r="K64" s="16"/>
      <c r="L64" s="16"/>
      <c r="M64" s="16"/>
      <c r="N64" s="16" t="s">
        <v>183</v>
      </c>
      <c r="O64" s="16"/>
      <c r="P64" s="16"/>
      <c r="Q64" s="16"/>
      <c r="R64" s="16"/>
      <c r="S64" s="16"/>
      <c r="T64" s="16"/>
      <c r="U64" s="16"/>
      <c r="V64" s="16"/>
      <c r="W64" s="16"/>
      <c r="X64" s="16"/>
      <c r="Y64" s="193"/>
      <c r="Z64" s="193"/>
      <c r="AA64" s="26"/>
      <c r="AB64" s="26"/>
      <c r="AC64" s="26"/>
      <c r="AD64" s="16"/>
      <c r="AE64" s="16"/>
      <c r="AF64" s="16"/>
      <c r="AG64" s="16"/>
      <c r="AH64" s="187"/>
      <c r="AI64" s="187"/>
      <c r="AJ64" s="187"/>
      <c r="AK64" s="187"/>
      <c r="AL64" s="187"/>
      <c r="AM64" s="187"/>
      <c r="AN64" s="187"/>
      <c r="AO64" s="187"/>
      <c r="AP64" s="187"/>
      <c r="AQ64" s="187"/>
      <c r="AR64" s="187"/>
      <c r="AS64" s="187"/>
      <c r="AT64" s="187"/>
      <c r="AU64" s="187"/>
      <c r="AV64" s="187"/>
      <c r="AW64" s="187"/>
      <c r="AX64" s="187"/>
      <c r="AY64" s="187"/>
      <c r="AZ64" s="27"/>
      <c r="BA64" s="27"/>
      <c r="BB64" s="16"/>
      <c r="BC64" s="16"/>
      <c r="BD64" s="16"/>
      <c r="BE64" s="32"/>
      <c r="BF64" s="32"/>
      <c r="BG64" s="32"/>
      <c r="BH64" s="32"/>
      <c r="BI64" s="175"/>
      <c r="BJ64"/>
      <c r="BK64"/>
      <c r="BL64"/>
      <c r="BM64"/>
    </row>
    <row r="65" spans="1:65" s="198" customFormat="1" x14ac:dyDescent="0.35">
      <c r="A65" s="43"/>
      <c r="B65" s="43"/>
      <c r="C65" s="16"/>
      <c r="D65" s="16"/>
      <c r="E65" s="16"/>
      <c r="F65" s="16"/>
      <c r="G65" s="16"/>
      <c r="H65" s="16"/>
      <c r="I65" s="16"/>
      <c r="J65" s="16"/>
      <c r="K65" s="16"/>
      <c r="L65" s="16"/>
      <c r="M65" s="16"/>
      <c r="N65" s="194"/>
      <c r="O65" s="195"/>
      <c r="P65" s="195"/>
      <c r="Q65" s="195" t="s">
        <v>184</v>
      </c>
      <c r="R65" s="195"/>
      <c r="S65" s="196" t="s">
        <v>185</v>
      </c>
      <c r="T65" s="195"/>
      <c r="U65" s="197"/>
      <c r="V65" s="6"/>
      <c r="W65" s="6"/>
      <c r="X65" s="6"/>
      <c r="Y65" s="193"/>
      <c r="Z65" s="193"/>
      <c r="AA65" s="26"/>
      <c r="AB65" s="26"/>
      <c r="AC65" s="26"/>
      <c r="AD65" s="16"/>
      <c r="AE65" s="16"/>
      <c r="AF65" s="16"/>
      <c r="AG65" s="16"/>
      <c r="AH65" s="187"/>
      <c r="AI65" s="187"/>
      <c r="AJ65" s="187"/>
      <c r="AK65" s="187"/>
      <c r="AL65" s="187"/>
      <c r="AM65" s="187"/>
      <c r="AN65" s="187"/>
      <c r="AO65" s="187"/>
      <c r="AP65" s="187"/>
      <c r="AQ65" s="187"/>
      <c r="AR65" s="187"/>
      <c r="AS65" s="187"/>
      <c r="AT65" s="187"/>
      <c r="AU65" s="187"/>
      <c r="AV65" s="187"/>
      <c r="AW65" s="187"/>
      <c r="AX65" s="187"/>
      <c r="AY65" s="187"/>
      <c r="AZ65" s="27"/>
      <c r="BA65" s="27"/>
      <c r="BB65" s="16"/>
      <c r="BC65" s="16"/>
      <c r="BD65" s="16"/>
      <c r="BE65" s="32"/>
      <c r="BF65" s="32"/>
      <c r="BG65" s="32"/>
      <c r="BH65" s="32"/>
      <c r="BI65" s="175"/>
      <c r="BJ65"/>
      <c r="BK65"/>
      <c r="BL65"/>
      <c r="BM65"/>
    </row>
    <row r="66" spans="1:65" s="8" customFormat="1" x14ac:dyDescent="0.35">
      <c r="A66" s="16"/>
      <c r="B66" s="16"/>
      <c r="C66" s="16"/>
      <c r="D66" s="16"/>
      <c r="E66" s="16"/>
      <c r="F66" s="16"/>
      <c r="G66" s="16"/>
      <c r="H66" s="16"/>
      <c r="I66" s="16"/>
      <c r="J66" s="16"/>
      <c r="K66" s="16"/>
      <c r="L66" s="16"/>
      <c r="M66" s="16"/>
      <c r="N66" s="199" t="s">
        <v>186</v>
      </c>
      <c r="O66" s="200" t="s">
        <v>187</v>
      </c>
      <c r="P66" s="200"/>
      <c r="Q66" s="200" t="s">
        <v>188</v>
      </c>
      <c r="R66" s="200" t="s">
        <v>189</v>
      </c>
      <c r="S66" s="200" t="s">
        <v>190</v>
      </c>
      <c r="T66" s="200" t="s">
        <v>191</v>
      </c>
      <c r="U66" s="201" t="s">
        <v>192</v>
      </c>
      <c r="V66" s="6"/>
      <c r="W66" s="6"/>
      <c r="X66" s="6"/>
      <c r="Y66" s="193"/>
      <c r="Z66" s="193"/>
      <c r="AA66" s="26"/>
      <c r="AB66" s="26"/>
      <c r="AC66" s="26"/>
      <c r="AD66" s="16"/>
      <c r="AE66" s="16"/>
      <c r="AF66" s="16"/>
      <c r="AG66" s="16"/>
      <c r="AH66" s="187"/>
      <c r="AI66" s="187"/>
      <c r="AJ66" s="187"/>
      <c r="AK66" s="187"/>
      <c r="AL66" s="187"/>
      <c r="AM66" s="187"/>
      <c r="AN66" s="187"/>
      <c r="AO66" s="187"/>
      <c r="AP66" s="187"/>
      <c r="AQ66" s="187"/>
      <c r="AR66" s="187"/>
      <c r="AS66" s="187"/>
      <c r="AT66" s="187"/>
      <c r="AU66" s="187"/>
      <c r="AV66" s="187"/>
      <c r="AW66" s="187"/>
      <c r="AX66" s="187"/>
      <c r="AY66" s="187"/>
      <c r="AZ66" s="27"/>
      <c r="BA66" s="27"/>
      <c r="BB66" s="16"/>
      <c r="BC66" s="16"/>
      <c r="BD66" s="16"/>
      <c r="BE66" s="32"/>
      <c r="BF66" s="32"/>
      <c r="BG66" s="32"/>
      <c r="BH66" s="32"/>
      <c r="BI66" s="175"/>
    </row>
    <row r="67" spans="1:65" s="8" customFormat="1" x14ac:dyDescent="0.35">
      <c r="A67" s="16"/>
      <c r="B67" s="16"/>
      <c r="C67" s="16"/>
      <c r="D67" s="16"/>
      <c r="E67" s="16"/>
      <c r="F67" s="16"/>
      <c r="G67" s="16"/>
      <c r="H67" s="16"/>
      <c r="I67" s="16"/>
      <c r="J67" s="16"/>
      <c r="K67" s="16"/>
      <c r="L67" s="16"/>
      <c r="M67" s="16"/>
      <c r="N67" s="202" t="s">
        <v>193</v>
      </c>
      <c r="O67" s="203" t="s">
        <v>194</v>
      </c>
      <c r="P67" s="203"/>
      <c r="Q67" s="204">
        <v>1487</v>
      </c>
      <c r="R67" s="205">
        <v>109.6</v>
      </c>
      <c r="S67" s="205">
        <v>1</v>
      </c>
      <c r="T67" s="197">
        <f>Q67+R67+S67</f>
        <v>1597.6</v>
      </c>
      <c r="U67" s="201"/>
      <c r="V67" s="6"/>
      <c r="W67" s="6"/>
      <c r="X67" s="6"/>
      <c r="Y67" s="193" t="s">
        <v>195</v>
      </c>
      <c r="Z67" s="193"/>
      <c r="AA67" s="26"/>
      <c r="AB67" s="26"/>
      <c r="AC67" s="26"/>
      <c r="AD67" s="16"/>
      <c r="AE67" s="16"/>
      <c r="AF67" s="16"/>
      <c r="AG67" s="16"/>
      <c r="AH67" s="187"/>
      <c r="AI67" s="187"/>
      <c r="AJ67" s="187"/>
      <c r="AK67" s="187"/>
      <c r="AL67" s="187"/>
      <c r="AM67" s="187"/>
      <c r="AN67" s="187"/>
      <c r="AO67" s="187"/>
      <c r="AP67" s="187"/>
      <c r="AQ67" s="187"/>
      <c r="AR67" s="187"/>
      <c r="AS67" s="187"/>
      <c r="AT67" s="187"/>
      <c r="AU67" s="187"/>
      <c r="AV67" s="187"/>
      <c r="AW67" s="187"/>
      <c r="AX67" s="187"/>
      <c r="AY67" s="187"/>
      <c r="AZ67" s="27"/>
      <c r="BA67" s="27"/>
      <c r="BB67" s="16"/>
      <c r="BC67" s="16"/>
      <c r="BD67" s="16"/>
      <c r="BE67" s="32"/>
      <c r="BF67" s="32"/>
      <c r="BG67" s="32"/>
      <c r="BH67" s="32"/>
      <c r="BI67" s="175"/>
    </row>
    <row r="68" spans="1:65" s="8" customFormat="1" x14ac:dyDescent="0.35">
      <c r="A68" s="16"/>
      <c r="B68" s="16"/>
      <c r="C68" s="16"/>
      <c r="D68" s="16"/>
      <c r="E68" s="16"/>
      <c r="F68" s="16"/>
      <c r="G68" s="16"/>
      <c r="H68" s="16"/>
      <c r="I68" s="16"/>
      <c r="J68" s="16"/>
      <c r="K68" s="16"/>
      <c r="L68" s="16"/>
      <c r="M68" s="16"/>
      <c r="N68" s="206" t="s">
        <v>40</v>
      </c>
      <c r="O68" s="207" t="s">
        <v>196</v>
      </c>
      <c r="P68" s="207"/>
      <c r="Q68" s="208">
        <v>20</v>
      </c>
      <c r="R68" s="209">
        <v>30.1</v>
      </c>
      <c r="S68" s="209">
        <v>23</v>
      </c>
      <c r="T68" s="210">
        <f>Q68+R68+S68</f>
        <v>73.099999999999994</v>
      </c>
      <c r="U68" s="201"/>
      <c r="V68" s="6"/>
      <c r="W68" s="6"/>
      <c r="X68" s="6"/>
      <c r="Y68" s="193">
        <f>(T67+T68)/1000</f>
        <v>1.6706999999999999</v>
      </c>
      <c r="Z68" s="193"/>
      <c r="AA68" s="26"/>
      <c r="AB68" s="26"/>
      <c r="AC68" s="26"/>
      <c r="AD68" s="16"/>
      <c r="AE68" s="16"/>
      <c r="AF68" s="16"/>
      <c r="AG68" s="16"/>
      <c r="AH68" s="187"/>
      <c r="AI68" s="187"/>
      <c r="AJ68" s="187"/>
      <c r="AK68" s="187"/>
      <c r="AL68" s="187"/>
      <c r="AM68" s="187"/>
      <c r="AN68" s="187"/>
      <c r="AO68" s="187"/>
      <c r="AP68" s="187"/>
      <c r="AQ68" s="187"/>
      <c r="AR68" s="187"/>
      <c r="AS68" s="187"/>
      <c r="AT68" s="187"/>
      <c r="AU68" s="187"/>
      <c r="AV68" s="187"/>
      <c r="AW68" s="187"/>
      <c r="AX68" s="187"/>
      <c r="AY68" s="187"/>
      <c r="AZ68" s="27"/>
      <c r="BA68" s="27"/>
      <c r="BB68" s="16"/>
      <c r="BC68" s="16"/>
      <c r="BD68" s="16"/>
      <c r="BE68" s="32"/>
      <c r="BF68" s="32"/>
      <c r="BG68" s="32"/>
      <c r="BH68" s="32"/>
      <c r="BI68" s="175"/>
    </row>
    <row r="69" spans="1:65" s="8" customFormat="1" x14ac:dyDescent="0.35">
      <c r="A69" s="16"/>
      <c r="B69" s="16"/>
      <c r="C69" s="16"/>
      <c r="D69" s="16"/>
      <c r="E69" s="16"/>
      <c r="F69" s="16"/>
      <c r="G69" s="16"/>
      <c r="H69" s="16"/>
      <c r="I69" s="16"/>
      <c r="J69" s="16"/>
      <c r="K69" s="16"/>
      <c r="L69" s="16"/>
      <c r="M69" s="16"/>
      <c r="N69" s="202" t="s">
        <v>197</v>
      </c>
      <c r="O69" s="203" t="s">
        <v>198</v>
      </c>
      <c r="P69" s="203"/>
      <c r="Q69" s="211">
        <v>11</v>
      </c>
      <c r="R69" s="212">
        <v>1.5</v>
      </c>
      <c r="S69" s="212">
        <v>0</v>
      </c>
      <c r="T69" s="197">
        <f>Q69+R69+S69</f>
        <v>12.5</v>
      </c>
      <c r="U69" s="201">
        <f>T69/$T$68</f>
        <v>0.17099863201094392</v>
      </c>
      <c r="V69" s="6"/>
      <c r="W69" s="6"/>
      <c r="X69" s="6"/>
      <c r="Y69" s="193"/>
      <c r="Z69" s="193"/>
      <c r="AA69" s="26"/>
      <c r="AB69" s="26"/>
      <c r="AC69" s="26"/>
      <c r="AD69" s="16"/>
      <c r="AE69" s="16"/>
      <c r="AF69" s="16"/>
      <c r="AG69" s="16"/>
      <c r="AH69" s="187"/>
      <c r="AI69" s="187"/>
      <c r="AJ69" s="187"/>
      <c r="AK69" s="187"/>
      <c r="AL69" s="187"/>
      <c r="AM69" s="187"/>
      <c r="AN69" s="187"/>
      <c r="AO69" s="187"/>
      <c r="AP69" s="187"/>
      <c r="AQ69" s="187"/>
      <c r="AR69" s="187"/>
      <c r="AS69" s="187"/>
      <c r="AT69" s="187"/>
      <c r="AU69" s="187"/>
      <c r="AV69" s="187"/>
      <c r="AW69" s="187"/>
      <c r="AX69" s="187"/>
      <c r="AY69" s="187"/>
      <c r="AZ69" s="27"/>
      <c r="BA69" s="27"/>
      <c r="BB69" s="16"/>
      <c r="BC69" s="16"/>
      <c r="BD69" s="16"/>
      <c r="BE69" s="32"/>
      <c r="BF69" s="32"/>
      <c r="BG69" s="32"/>
      <c r="BH69" s="32"/>
      <c r="BI69" s="175"/>
    </row>
    <row r="70" spans="1:65" s="8" customFormat="1" x14ac:dyDescent="0.35">
      <c r="A70" s="16"/>
      <c r="B70" s="16"/>
      <c r="C70" s="16"/>
      <c r="D70" s="16"/>
      <c r="E70" s="16"/>
      <c r="F70" s="16"/>
      <c r="G70" s="16"/>
      <c r="H70" s="16"/>
      <c r="I70" s="16"/>
      <c r="J70" s="16"/>
      <c r="K70" s="16"/>
      <c r="L70" s="16"/>
      <c r="M70" s="16"/>
      <c r="N70" s="213" t="s">
        <v>199</v>
      </c>
      <c r="O70" s="214" t="s">
        <v>200</v>
      </c>
      <c r="P70" s="214"/>
      <c r="Q70" s="215">
        <v>10.3</v>
      </c>
      <c r="R70" s="216">
        <v>0.3</v>
      </c>
      <c r="S70" s="216">
        <v>0</v>
      </c>
      <c r="T70" s="201">
        <f>Q70+R70+S70</f>
        <v>10.600000000000001</v>
      </c>
      <c r="U70" s="201">
        <f>T70/$T$68</f>
        <v>0.14500683994528046</v>
      </c>
      <c r="V70" s="6"/>
      <c r="W70" s="6"/>
      <c r="X70" s="6"/>
      <c r="Y70" s="193"/>
      <c r="Z70" s="187"/>
      <c r="AA70" s="182"/>
      <c r="AB70" s="182"/>
      <c r="AC70" s="182"/>
      <c r="AD70" s="187"/>
      <c r="AE70" s="187"/>
      <c r="AF70" s="187"/>
      <c r="AG70" s="187"/>
      <c r="AH70" s="187"/>
      <c r="AI70" s="187"/>
      <c r="AJ70" s="187"/>
      <c r="AK70" s="187"/>
      <c r="AL70" s="187"/>
      <c r="AM70" s="187"/>
      <c r="AN70" s="187"/>
      <c r="AO70" s="187"/>
      <c r="AP70" s="187"/>
      <c r="AQ70" s="187"/>
      <c r="AR70" s="187"/>
      <c r="AS70" s="187"/>
      <c r="AT70" s="187"/>
      <c r="AU70" s="187"/>
      <c r="AV70" s="187"/>
      <c r="AW70" s="187"/>
      <c r="AX70" s="187"/>
      <c r="AY70" s="187"/>
      <c r="AZ70" s="27"/>
      <c r="BA70" s="27"/>
      <c r="BB70" s="16"/>
      <c r="BC70" s="16"/>
      <c r="BD70" s="16"/>
      <c r="BE70" s="32"/>
      <c r="BF70" s="32"/>
      <c r="BG70" s="32"/>
      <c r="BH70" s="32"/>
      <c r="BI70" s="175"/>
    </row>
    <row r="71" spans="1:65" s="8" customFormat="1" x14ac:dyDescent="0.35">
      <c r="A71" s="16"/>
      <c r="B71" s="16"/>
      <c r="C71" s="16"/>
      <c r="D71" s="16"/>
      <c r="E71" s="16"/>
      <c r="F71" s="16"/>
      <c r="G71" s="16"/>
      <c r="H71" s="16"/>
      <c r="I71" s="16"/>
      <c r="J71" s="16"/>
      <c r="K71" s="16"/>
      <c r="L71" s="16"/>
      <c r="M71" s="16"/>
      <c r="N71" s="213" t="s">
        <v>201</v>
      </c>
      <c r="O71" s="214" t="s">
        <v>202</v>
      </c>
      <c r="P71" s="214"/>
      <c r="Q71" s="217">
        <v>0</v>
      </c>
      <c r="R71" s="216">
        <v>0</v>
      </c>
      <c r="S71" s="216">
        <v>0</v>
      </c>
      <c r="T71" s="201"/>
      <c r="U71" s="201"/>
      <c r="V71" s="6"/>
      <c r="W71" s="6"/>
      <c r="X71" s="6"/>
      <c r="Y71" s="193"/>
      <c r="Z71" s="187"/>
      <c r="AA71" s="182"/>
      <c r="AB71" s="182"/>
      <c r="AC71" s="182"/>
      <c r="AD71" s="187"/>
      <c r="AE71" s="187"/>
      <c r="AF71" s="187"/>
      <c r="AG71" s="187"/>
      <c r="AH71" s="187"/>
      <c r="AI71" s="187"/>
      <c r="AJ71" s="187"/>
      <c r="AK71" s="187"/>
      <c r="AL71" s="187"/>
      <c r="AM71" s="187"/>
      <c r="AN71" s="187"/>
      <c r="AO71" s="187"/>
      <c r="AP71" s="187"/>
      <c r="AQ71" s="187"/>
      <c r="AR71" s="187"/>
      <c r="AS71" s="187"/>
      <c r="AT71" s="187"/>
      <c r="AU71" s="187"/>
      <c r="AV71" s="187"/>
      <c r="AW71" s="187"/>
      <c r="AX71" s="187"/>
      <c r="AY71" s="187"/>
      <c r="AZ71" s="27"/>
      <c r="BA71" s="27"/>
      <c r="BB71" s="16"/>
      <c r="BC71" s="16"/>
      <c r="BD71" s="16"/>
      <c r="BE71" s="32"/>
      <c r="BF71" s="32"/>
      <c r="BG71" s="32"/>
      <c r="BH71" s="32"/>
      <c r="BI71" s="175"/>
    </row>
    <row r="72" spans="1:65" s="8" customFormat="1" x14ac:dyDescent="0.35">
      <c r="A72" s="16"/>
      <c r="B72" s="16"/>
      <c r="C72" s="16"/>
      <c r="D72" s="16"/>
      <c r="E72" s="16"/>
      <c r="F72" s="16"/>
      <c r="G72" s="16"/>
      <c r="H72" s="16"/>
      <c r="I72" s="16"/>
      <c r="J72" s="16"/>
      <c r="K72" s="16"/>
      <c r="L72" s="16"/>
      <c r="M72" s="16"/>
      <c r="N72" s="213" t="s">
        <v>203</v>
      </c>
      <c r="O72" s="214" t="s">
        <v>204</v>
      </c>
      <c r="P72" s="214"/>
      <c r="Q72" s="217">
        <v>0.6</v>
      </c>
      <c r="R72" s="216">
        <v>0.45</v>
      </c>
      <c r="S72" s="216">
        <v>0</v>
      </c>
      <c r="T72" s="201"/>
      <c r="U72" s="201"/>
      <c r="V72" s="6"/>
      <c r="W72" s="6"/>
      <c r="X72" s="6"/>
      <c r="Y72" s="193"/>
      <c r="Z72" s="187"/>
      <c r="AA72" s="182"/>
      <c r="AB72" s="182"/>
      <c r="AC72" s="182"/>
      <c r="AD72" s="187"/>
      <c r="AE72" s="187"/>
      <c r="AF72" s="187"/>
      <c r="AG72" s="187"/>
      <c r="AH72" s="187"/>
      <c r="AI72" s="187"/>
      <c r="AJ72" s="187"/>
      <c r="AK72" s="187"/>
      <c r="AL72" s="187"/>
      <c r="AM72" s="187"/>
      <c r="AN72" s="187"/>
      <c r="AO72" s="187"/>
      <c r="AP72" s="187"/>
      <c r="AQ72" s="187"/>
      <c r="AR72" s="187"/>
      <c r="AS72" s="187"/>
      <c r="AT72" s="187"/>
      <c r="AU72" s="187"/>
      <c r="AV72" s="187"/>
      <c r="AW72" s="187"/>
      <c r="AX72" s="187"/>
      <c r="AY72" s="187"/>
      <c r="AZ72" s="27"/>
      <c r="BA72" s="27"/>
      <c r="BB72" s="16"/>
      <c r="BC72" s="16"/>
      <c r="BD72" s="16"/>
      <c r="BE72" s="32"/>
      <c r="BF72" s="32"/>
      <c r="BG72" s="32"/>
      <c r="BH72" s="32"/>
      <c r="BI72" s="175"/>
    </row>
    <row r="73" spans="1:65" s="8" customFormat="1" x14ac:dyDescent="0.35">
      <c r="A73" s="16"/>
      <c r="B73" s="16"/>
      <c r="C73" s="16"/>
      <c r="D73" s="16"/>
      <c r="E73" s="16"/>
      <c r="F73" s="16"/>
      <c r="G73" s="16"/>
      <c r="H73" s="16"/>
      <c r="I73" s="16"/>
      <c r="J73" s="16"/>
      <c r="K73" s="16"/>
      <c r="L73" s="16"/>
      <c r="M73" s="16"/>
      <c r="N73" s="213" t="s">
        <v>205</v>
      </c>
      <c r="O73" s="214" t="s">
        <v>206</v>
      </c>
      <c r="P73" s="214"/>
      <c r="Q73" s="217">
        <v>0.1</v>
      </c>
      <c r="R73" s="216">
        <v>0.75</v>
      </c>
      <c r="S73" s="216">
        <v>0</v>
      </c>
      <c r="T73" s="201"/>
      <c r="U73" s="201"/>
      <c r="V73" s="6"/>
      <c r="W73" s="6"/>
      <c r="X73" s="6"/>
      <c r="Y73" s="193"/>
      <c r="Z73" s="187"/>
      <c r="AA73" s="182"/>
      <c r="AB73" s="182"/>
      <c r="AC73" s="182"/>
      <c r="AD73" s="187"/>
      <c r="AE73" s="187"/>
      <c r="AF73" s="187"/>
      <c r="AG73" s="187"/>
      <c r="AH73" s="187"/>
      <c r="AI73" s="187"/>
      <c r="AJ73" s="187"/>
      <c r="AK73" s="187"/>
      <c r="AL73" s="187"/>
      <c r="AM73" s="187"/>
      <c r="AN73" s="187"/>
      <c r="AO73" s="187"/>
      <c r="AP73" s="187"/>
      <c r="AQ73" s="187"/>
      <c r="AR73" s="187"/>
      <c r="AS73" s="187"/>
      <c r="AT73" s="187"/>
      <c r="AU73" s="187"/>
      <c r="AV73" s="187"/>
      <c r="AW73" s="187"/>
      <c r="AX73" s="187"/>
      <c r="AY73" s="187"/>
      <c r="AZ73" s="27"/>
      <c r="BA73" s="27"/>
      <c r="BB73" s="16"/>
      <c r="BC73" s="16"/>
      <c r="BD73" s="16"/>
      <c r="BE73" s="32"/>
      <c r="BF73" s="32"/>
      <c r="BG73" s="32"/>
      <c r="BH73" s="32"/>
      <c r="BI73" s="175"/>
    </row>
    <row r="74" spans="1:65" s="8" customFormat="1" x14ac:dyDescent="0.35">
      <c r="A74" s="16"/>
      <c r="B74" s="16"/>
      <c r="C74" s="16"/>
      <c r="D74" s="16"/>
      <c r="E74" s="16"/>
      <c r="F74" s="16"/>
      <c r="G74" s="16"/>
      <c r="H74" s="16"/>
      <c r="I74" s="16"/>
      <c r="J74" s="16"/>
      <c r="K74" s="16"/>
      <c r="L74" s="16"/>
      <c r="M74" s="16"/>
      <c r="N74" s="213" t="s">
        <v>207</v>
      </c>
      <c r="O74" s="214" t="s">
        <v>208</v>
      </c>
      <c r="P74" s="214"/>
      <c r="Q74" s="218">
        <v>0.9</v>
      </c>
      <c r="R74" s="219">
        <v>0.5</v>
      </c>
      <c r="S74" s="219">
        <v>0</v>
      </c>
      <c r="T74" s="201">
        <f>Q74+R74+S74</f>
        <v>1.4</v>
      </c>
      <c r="U74" s="201">
        <f>T74/$T$68</f>
        <v>1.9151846785225718E-2</v>
      </c>
      <c r="V74" s="16" t="s">
        <v>209</v>
      </c>
      <c r="W74" s="16"/>
      <c r="X74" s="16"/>
      <c r="Y74" s="16"/>
      <c r="Z74" s="16"/>
      <c r="AD74" s="16" t="s">
        <v>210</v>
      </c>
      <c r="AE74" s="16"/>
      <c r="AF74" s="43"/>
      <c r="AG74" s="16"/>
      <c r="AH74" s="187"/>
      <c r="AI74" s="187"/>
      <c r="AJ74" s="187"/>
      <c r="AK74" s="187"/>
      <c r="AL74" s="187"/>
      <c r="AM74" s="187"/>
      <c r="AN74" s="187"/>
      <c r="AO74" s="187"/>
      <c r="AP74" s="187"/>
      <c r="AQ74" s="187"/>
      <c r="AR74" s="187"/>
      <c r="AS74" s="187"/>
      <c r="AT74" s="187"/>
      <c r="AU74" s="187"/>
      <c r="AV74" s="187"/>
      <c r="AW74" s="187"/>
      <c r="AX74" s="187"/>
      <c r="AY74" s="187"/>
      <c r="AZ74" s="27"/>
      <c r="BA74" s="27"/>
      <c r="BB74" s="16"/>
      <c r="BC74" s="16"/>
      <c r="BD74" s="16"/>
      <c r="BE74" s="32"/>
      <c r="BF74" s="32"/>
      <c r="BG74" s="32"/>
      <c r="BH74" s="32"/>
      <c r="BI74" s="175"/>
    </row>
    <row r="75" spans="1:65" s="8" customFormat="1" x14ac:dyDescent="0.35">
      <c r="A75" s="16"/>
      <c r="B75" s="16"/>
      <c r="C75" s="16"/>
      <c r="D75" s="16"/>
      <c r="E75" s="16"/>
      <c r="F75" s="16"/>
      <c r="G75" s="16"/>
      <c r="H75" s="16"/>
      <c r="I75" s="16"/>
      <c r="J75" s="16"/>
      <c r="K75" s="16"/>
      <c r="L75" s="16"/>
      <c r="M75" s="16"/>
      <c r="N75" s="213" t="s">
        <v>211</v>
      </c>
      <c r="O75" s="214" t="s">
        <v>212</v>
      </c>
      <c r="P75" s="214"/>
      <c r="Q75" s="217">
        <v>0.81</v>
      </c>
      <c r="R75" s="216">
        <v>0.1</v>
      </c>
      <c r="S75" s="216">
        <v>0</v>
      </c>
      <c r="T75" s="201"/>
      <c r="U75" s="201"/>
      <c r="V75" s="16" t="s">
        <v>213</v>
      </c>
      <c r="W75" s="16"/>
      <c r="X75" s="16"/>
      <c r="Y75" s="16" t="s">
        <v>214</v>
      </c>
      <c r="Z75" s="16"/>
      <c r="AD75" s="16"/>
      <c r="AE75" s="16"/>
      <c r="AF75" s="16"/>
      <c r="AG75" s="16"/>
      <c r="AH75" s="187"/>
      <c r="AI75" s="187"/>
      <c r="AJ75" s="187"/>
      <c r="AK75" s="187"/>
      <c r="AL75" s="187"/>
      <c r="AM75" s="187"/>
      <c r="AN75" s="187"/>
      <c r="AO75" s="187"/>
      <c r="AP75" s="187"/>
      <c r="AQ75" s="187"/>
      <c r="AR75" s="187"/>
      <c r="AS75" s="187"/>
      <c r="AT75" s="187"/>
      <c r="AU75" s="187"/>
      <c r="AV75" s="187"/>
      <c r="AW75" s="187"/>
      <c r="AX75" s="187"/>
      <c r="AY75" s="187"/>
      <c r="AZ75" s="27"/>
      <c r="BA75" s="27"/>
      <c r="BB75" s="16"/>
      <c r="BC75" s="16"/>
      <c r="BD75" s="16"/>
      <c r="BE75" s="32"/>
      <c r="BF75" s="32"/>
      <c r="BG75" s="32"/>
      <c r="BH75" s="32"/>
      <c r="BI75" s="175"/>
    </row>
    <row r="76" spans="1:65" s="8" customFormat="1" x14ac:dyDescent="0.35">
      <c r="A76" s="16"/>
      <c r="B76" s="16"/>
      <c r="C76" s="16"/>
      <c r="D76" s="16"/>
      <c r="E76" s="16"/>
      <c r="F76" s="16"/>
      <c r="G76" s="16"/>
      <c r="H76" s="16"/>
      <c r="I76" s="16"/>
      <c r="J76" s="16"/>
      <c r="K76" s="16"/>
      <c r="L76" s="16"/>
      <c r="M76" s="16"/>
      <c r="N76" s="220" t="s">
        <v>215</v>
      </c>
      <c r="O76" s="221" t="s">
        <v>216</v>
      </c>
      <c r="P76" s="221"/>
      <c r="Q76" s="222">
        <v>0.09</v>
      </c>
      <c r="R76" s="223">
        <v>0.4</v>
      </c>
      <c r="S76" s="223">
        <v>0</v>
      </c>
      <c r="T76" s="201"/>
      <c r="U76" s="201"/>
      <c r="V76"/>
      <c r="W76"/>
      <c r="X76"/>
      <c r="Y76"/>
      <c r="Z76"/>
      <c r="AD76"/>
      <c r="AE76"/>
      <c r="AH76" s="187"/>
      <c r="AI76" s="187"/>
      <c r="AJ76" s="187"/>
      <c r="AK76" s="187"/>
      <c r="AL76" s="187"/>
      <c r="AM76" s="187"/>
      <c r="AN76" s="187"/>
      <c r="AO76" s="187"/>
      <c r="AP76" s="187"/>
      <c r="AQ76" s="187"/>
      <c r="AR76" s="187"/>
      <c r="AS76" s="187"/>
      <c r="AT76" s="187"/>
      <c r="AU76" s="187"/>
      <c r="AV76" s="187"/>
      <c r="AW76" s="187"/>
      <c r="AX76" s="187"/>
      <c r="AY76" s="187"/>
      <c r="AZ76" s="27"/>
      <c r="BA76" s="27"/>
      <c r="BB76" s="16"/>
      <c r="BC76" s="16"/>
      <c r="BD76" s="16"/>
      <c r="BE76" s="32"/>
      <c r="BF76" s="32"/>
      <c r="BG76" s="32"/>
      <c r="BH76" s="32"/>
      <c r="BI76" s="175"/>
    </row>
    <row r="77" spans="1:65" s="8" customFormat="1" x14ac:dyDescent="0.35">
      <c r="A77" s="16"/>
      <c r="B77" s="16"/>
      <c r="C77" s="16"/>
      <c r="D77" s="16"/>
      <c r="E77" s="16"/>
      <c r="F77" s="16"/>
      <c r="G77" s="16"/>
      <c r="H77" s="16"/>
      <c r="I77" s="16"/>
      <c r="J77" s="16"/>
      <c r="K77" s="16"/>
      <c r="L77" s="16"/>
      <c r="M77" s="16"/>
      <c r="N77" s="220" t="s">
        <v>217</v>
      </c>
      <c r="O77" s="221" t="s">
        <v>218</v>
      </c>
      <c r="P77" s="221"/>
      <c r="Q77" s="222">
        <v>0.7</v>
      </c>
      <c r="R77" s="223">
        <v>0.16200000000000001</v>
      </c>
      <c r="S77" s="223">
        <v>4.0000000000000001E-3</v>
      </c>
      <c r="T77" s="201">
        <f>Q77+R77+S77</f>
        <v>0.86599999999999999</v>
      </c>
      <c r="U77" s="201">
        <f>T77/$T$68</f>
        <v>1.1846785225718194E-2</v>
      </c>
      <c r="V77"/>
      <c r="W77"/>
      <c r="X77"/>
      <c r="Y77"/>
      <c r="Z77"/>
      <c r="AD77"/>
      <c r="AE77"/>
      <c r="AH77" s="187"/>
      <c r="AI77" s="187"/>
      <c r="AJ77" s="187"/>
      <c r="AK77" s="187"/>
      <c r="AL77" s="187"/>
      <c r="AM77" s="187"/>
      <c r="AN77" s="187"/>
      <c r="AO77" s="187"/>
      <c r="AP77" s="187"/>
      <c r="AQ77" s="187"/>
      <c r="AR77" s="187"/>
      <c r="AS77" s="187"/>
      <c r="AT77" s="187"/>
      <c r="AU77" s="187"/>
      <c r="AV77" s="187"/>
      <c r="AW77" s="187"/>
      <c r="AX77" s="187"/>
      <c r="AY77" s="187"/>
      <c r="AZ77" s="27"/>
      <c r="BA77" s="27"/>
      <c r="BB77" s="16"/>
      <c r="BC77" s="16"/>
      <c r="BD77" s="16"/>
      <c r="BE77" s="32"/>
      <c r="BF77" s="32"/>
      <c r="BG77" s="32"/>
      <c r="BH77" s="32"/>
      <c r="BI77" s="175"/>
    </row>
    <row r="78" spans="1:65" s="8" customFormat="1" x14ac:dyDescent="0.35">
      <c r="A78" s="16"/>
      <c r="B78" s="16"/>
      <c r="C78" s="16"/>
      <c r="D78" s="16"/>
      <c r="E78" s="16"/>
      <c r="F78" s="16"/>
      <c r="G78" s="16"/>
      <c r="H78" s="16"/>
      <c r="I78" s="16"/>
      <c r="J78" s="16"/>
      <c r="K78" s="16"/>
      <c r="L78" s="16"/>
      <c r="M78" s="16"/>
      <c r="N78" s="220" t="s">
        <v>219</v>
      </c>
      <c r="O78" s="221" t="s">
        <v>220</v>
      </c>
      <c r="P78" s="221"/>
      <c r="Q78" s="222">
        <v>0.63</v>
      </c>
      <c r="R78" s="223">
        <v>2.9000000000000001E-2</v>
      </c>
      <c r="S78" s="223">
        <v>0</v>
      </c>
      <c r="T78" s="201"/>
      <c r="U78" s="201"/>
      <c r="V78" t="s">
        <v>221</v>
      </c>
      <c r="W78"/>
      <c r="X78"/>
      <c r="Y78"/>
      <c r="Z78"/>
      <c r="AD78"/>
      <c r="AE78"/>
      <c r="AH78" s="187"/>
      <c r="AI78" s="187"/>
      <c r="AJ78" s="187"/>
      <c r="AK78" s="187"/>
      <c r="AL78" s="187"/>
      <c r="AM78" s="187"/>
      <c r="AN78" s="187"/>
      <c r="AO78" s="187"/>
      <c r="AP78" s="187"/>
      <c r="AQ78" s="187"/>
      <c r="AR78" s="187"/>
      <c r="AS78" s="187"/>
      <c r="AT78" s="187"/>
      <c r="AU78" s="187"/>
      <c r="AV78" s="187"/>
      <c r="AW78" s="187"/>
      <c r="AX78" s="187"/>
      <c r="AY78" s="187"/>
      <c r="AZ78" s="27"/>
      <c r="BA78" s="27"/>
      <c r="BB78" s="16"/>
      <c r="BC78" s="16"/>
      <c r="BD78" s="16"/>
      <c r="BE78" s="32"/>
      <c r="BF78" s="32"/>
      <c r="BG78" s="32"/>
      <c r="BH78" s="32"/>
      <c r="BI78" s="175"/>
    </row>
    <row r="79" spans="1:65" s="8" customFormat="1" x14ac:dyDescent="0.35">
      <c r="A79" s="16"/>
      <c r="B79" s="16"/>
      <c r="C79" s="16"/>
      <c r="D79" s="16"/>
      <c r="E79" s="16"/>
      <c r="F79" s="16"/>
      <c r="G79" s="16"/>
      <c r="H79" s="16"/>
      <c r="I79" s="16"/>
      <c r="J79" s="16"/>
      <c r="K79" s="16"/>
      <c r="L79" s="16"/>
      <c r="M79" s="16"/>
      <c r="N79" s="220" t="s">
        <v>222</v>
      </c>
      <c r="O79" s="221" t="s">
        <v>223</v>
      </c>
      <c r="P79" s="221"/>
      <c r="Q79" s="222">
        <v>7.0000000000000007E-2</v>
      </c>
      <c r="R79" s="223">
        <v>3.0000000000000001E-3</v>
      </c>
      <c r="S79" s="223">
        <v>0</v>
      </c>
      <c r="T79" s="201"/>
      <c r="U79" s="201"/>
      <c r="V79" t="s">
        <v>224</v>
      </c>
      <c r="W79"/>
      <c r="X79"/>
      <c r="Y79"/>
      <c r="Z79"/>
      <c r="AD79"/>
      <c r="AE79"/>
      <c r="AH79" s="187"/>
      <c r="AI79" s="187"/>
      <c r="AJ79" s="187"/>
      <c r="AK79" s="187"/>
      <c r="AL79" s="187"/>
      <c r="AM79" s="187"/>
      <c r="AN79" s="187"/>
      <c r="AO79" s="187"/>
      <c r="AP79" s="187"/>
      <c r="AQ79" s="187"/>
      <c r="AR79" s="187"/>
      <c r="AS79" s="187"/>
      <c r="AT79" s="224"/>
      <c r="AU79" s="224"/>
      <c r="AV79" s="224"/>
      <c r="AW79" s="224"/>
      <c r="AX79" s="224"/>
      <c r="AY79" s="224"/>
      <c r="AZ79" s="23"/>
      <c r="BA79" s="23"/>
      <c r="BB79"/>
      <c r="BC79"/>
      <c r="BD79"/>
    </row>
    <row r="80" spans="1:65" s="8" customFormat="1" x14ac:dyDescent="0.35">
      <c r="A80" s="16"/>
      <c r="B80" s="16"/>
      <c r="C80" s="16"/>
      <c r="D80" s="16"/>
      <c r="E80" s="16"/>
      <c r="F80" s="16"/>
      <c r="G80" s="16"/>
      <c r="H80" s="16"/>
      <c r="I80" s="16"/>
      <c r="J80" s="16"/>
      <c r="K80" s="16"/>
      <c r="L80" s="16"/>
      <c r="M80" s="16"/>
      <c r="N80" s="220" t="s">
        <v>225</v>
      </c>
      <c r="O80" s="221" t="s">
        <v>226</v>
      </c>
      <c r="P80" s="221"/>
      <c r="Q80" s="222">
        <v>0</v>
      </c>
      <c r="R80" s="223">
        <v>0.13</v>
      </c>
      <c r="S80" s="223">
        <v>4.0000000000000001E-3</v>
      </c>
      <c r="T80" s="201"/>
      <c r="U80" s="201"/>
      <c r="V80" s="7" t="s">
        <v>227</v>
      </c>
      <c r="W80" s="7"/>
      <c r="X80" s="7"/>
      <c r="Y80" s="225"/>
      <c r="Z80" s="224"/>
      <c r="AA80" s="182"/>
      <c r="AB80" s="182"/>
      <c r="AC80" s="182"/>
      <c r="AD80" s="224"/>
      <c r="AE80" s="224"/>
      <c r="AF80" s="224"/>
      <c r="AG80" s="224"/>
      <c r="AH80" s="187"/>
      <c r="AI80" s="187"/>
      <c r="AJ80" s="187"/>
      <c r="AK80" s="187"/>
      <c r="AL80" s="187"/>
      <c r="AM80" s="187"/>
      <c r="AN80" s="187"/>
      <c r="AO80" s="187"/>
      <c r="AP80" s="187"/>
      <c r="AQ80" s="187"/>
      <c r="AR80" s="187"/>
      <c r="AS80" s="187"/>
      <c r="AT80" s="224"/>
      <c r="AU80" s="224"/>
      <c r="AV80" s="224"/>
      <c r="AW80" s="224"/>
      <c r="AX80" s="224"/>
      <c r="AY80" s="224"/>
      <c r="AZ80" s="23"/>
      <c r="BA80" s="23"/>
      <c r="BB80"/>
      <c r="BC80"/>
      <c r="BD80"/>
    </row>
    <row r="81" spans="1:56" s="8" customFormat="1" x14ac:dyDescent="0.35">
      <c r="A81" s="16"/>
      <c r="B81" s="16"/>
      <c r="C81" s="16"/>
      <c r="D81" s="16"/>
      <c r="E81" s="16"/>
      <c r="F81" s="16"/>
      <c r="G81" s="16"/>
      <c r="H81" s="16"/>
      <c r="I81" s="16"/>
      <c r="J81" s="16"/>
      <c r="K81" s="16"/>
      <c r="L81" s="16"/>
      <c r="M81" s="16"/>
      <c r="N81" s="220" t="s">
        <v>228</v>
      </c>
      <c r="O81" s="221" t="s">
        <v>229</v>
      </c>
      <c r="P81" s="221"/>
      <c r="Q81" s="226">
        <v>2.4</v>
      </c>
      <c r="R81" s="223">
        <v>0.9</v>
      </c>
      <c r="S81" s="223">
        <v>0</v>
      </c>
      <c r="T81" s="201">
        <f t="shared" ref="T81:T89" si="10">Q81+R81+S81</f>
        <v>3.3</v>
      </c>
      <c r="U81" s="201">
        <f t="shared" ref="U81:U89" si="11">T81/$T$68</f>
        <v>4.5143638850889192E-2</v>
      </c>
      <c r="V81" s="7" t="s">
        <v>230</v>
      </c>
      <c r="W81" s="7"/>
      <c r="X81" s="7"/>
      <c r="Y81" s="225"/>
      <c r="Z81" s="224"/>
      <c r="AA81" s="182"/>
      <c r="AB81" s="182"/>
      <c r="AC81" s="182"/>
      <c r="AD81" s="224"/>
      <c r="AE81" s="224"/>
      <c r="AF81" s="224"/>
      <c r="AG81" s="224"/>
      <c r="AH81" s="187"/>
      <c r="AI81" s="187"/>
      <c r="AJ81" s="187"/>
      <c r="AK81" s="187"/>
      <c r="AL81" s="187"/>
      <c r="AM81" s="187"/>
      <c r="AN81" s="187"/>
      <c r="AO81" s="187"/>
      <c r="AP81" s="187"/>
      <c r="AQ81" s="187"/>
      <c r="AR81" s="187"/>
      <c r="AS81" s="187"/>
      <c r="AT81" s="224"/>
      <c r="AU81" s="224"/>
      <c r="AV81" s="224"/>
      <c r="AW81" s="224"/>
      <c r="AX81" s="224"/>
      <c r="AY81" s="224"/>
      <c r="AZ81" s="23"/>
      <c r="BA81" s="23"/>
      <c r="BB81"/>
      <c r="BC81"/>
      <c r="BD81"/>
    </row>
    <row r="82" spans="1:56" s="8" customFormat="1" x14ac:dyDescent="0.35">
      <c r="A82" s="16"/>
      <c r="B82" s="16"/>
      <c r="C82" s="16"/>
      <c r="D82" s="16"/>
      <c r="E82" s="16"/>
      <c r="F82" s="16"/>
      <c r="G82" s="16"/>
      <c r="H82" s="16"/>
      <c r="I82" s="16"/>
      <c r="J82" s="16"/>
      <c r="K82" s="16"/>
      <c r="L82" s="16"/>
      <c r="M82" s="16"/>
      <c r="N82" s="220" t="s">
        <v>231</v>
      </c>
      <c r="O82" s="221" t="s">
        <v>232</v>
      </c>
      <c r="P82" s="221"/>
      <c r="Q82" s="222">
        <v>3.0000000000000001E-3</v>
      </c>
      <c r="R82" s="223">
        <v>0.15</v>
      </c>
      <c r="S82" s="223">
        <v>0</v>
      </c>
      <c r="T82" s="201">
        <f t="shared" si="10"/>
        <v>0.153</v>
      </c>
      <c r="U82" s="201">
        <f t="shared" si="11"/>
        <v>2.0930232558139536E-3</v>
      </c>
      <c r="V82" s="7"/>
      <c r="W82" s="7"/>
      <c r="X82" s="7"/>
      <c r="Y82" s="7"/>
      <c r="Z82" s="224"/>
      <c r="AA82" s="182"/>
      <c r="AB82" s="182"/>
      <c r="AC82" s="182"/>
      <c r="AD82" s="224"/>
      <c r="AE82" s="224"/>
      <c r="AF82" s="224"/>
      <c r="AG82" s="224"/>
      <c r="AH82" s="187"/>
      <c r="AI82" s="187"/>
      <c r="AJ82" s="187"/>
      <c r="AK82" s="187"/>
      <c r="AL82" s="187"/>
      <c r="AM82" s="187"/>
      <c r="AN82" s="187"/>
      <c r="AO82" s="187"/>
      <c r="AP82" s="187"/>
      <c r="AQ82" s="187"/>
      <c r="AR82" s="187"/>
      <c r="AS82" s="187"/>
      <c r="AT82" s="224"/>
      <c r="AU82" s="224"/>
      <c r="AV82" s="224"/>
      <c r="AW82" s="224"/>
      <c r="AX82" s="224"/>
      <c r="AY82" s="224"/>
      <c r="AZ82" s="23"/>
      <c r="BA82" s="23"/>
      <c r="BB82"/>
      <c r="BC82"/>
      <c r="BD82"/>
    </row>
    <row r="83" spans="1:56" s="8" customFormat="1" x14ac:dyDescent="0.35">
      <c r="A83" s="16"/>
      <c r="B83" s="16"/>
      <c r="C83" s="16"/>
      <c r="D83" s="16"/>
      <c r="E83" s="16"/>
      <c r="F83" s="16"/>
      <c r="G83" s="16"/>
      <c r="H83" s="16"/>
      <c r="I83" s="16"/>
      <c r="J83" s="16"/>
      <c r="K83" s="16"/>
      <c r="L83" s="16"/>
      <c r="M83" s="16"/>
      <c r="N83" s="220" t="s">
        <v>233</v>
      </c>
      <c r="O83" s="221" t="s">
        <v>234</v>
      </c>
      <c r="P83" s="221"/>
      <c r="Q83" s="222">
        <v>1.2E-2</v>
      </c>
      <c r="R83" s="223">
        <v>3.7999999999999999E-2</v>
      </c>
      <c r="S83" s="223">
        <v>2E-3</v>
      </c>
      <c r="T83" s="201">
        <f t="shared" si="10"/>
        <v>5.2000000000000005E-2</v>
      </c>
      <c r="U83" s="201">
        <f t="shared" si="11"/>
        <v>7.1135430916552682E-4</v>
      </c>
      <c r="V83" s="7"/>
      <c r="W83" s="7"/>
      <c r="X83" s="7"/>
      <c r="Y83" s="7"/>
      <c r="Z83" s="224"/>
      <c r="AA83" s="182"/>
      <c r="AB83" s="182"/>
      <c r="AC83" s="182"/>
      <c r="AD83" s="224"/>
      <c r="AE83" s="224"/>
      <c r="AF83" s="224"/>
      <c r="AG83" s="224"/>
      <c r="AH83" s="187"/>
      <c r="AI83" s="187"/>
      <c r="AJ83" s="187"/>
      <c r="AK83" s="187"/>
      <c r="AL83" s="187"/>
      <c r="AM83" s="187"/>
      <c r="AN83" s="187"/>
      <c r="AO83" s="187"/>
      <c r="AP83" s="187"/>
      <c r="AQ83" s="187"/>
      <c r="AR83" s="187"/>
      <c r="AS83" s="187"/>
      <c r="AT83" s="224"/>
      <c r="AU83" s="224"/>
      <c r="AV83" s="224"/>
      <c r="AW83" s="224"/>
      <c r="AX83" s="224"/>
      <c r="AY83" s="224"/>
      <c r="AZ83" s="23"/>
      <c r="BA83" s="23"/>
      <c r="BB83"/>
      <c r="BC83"/>
      <c r="BD83"/>
    </row>
    <row r="84" spans="1:56" s="8" customFormat="1" x14ac:dyDescent="0.35">
      <c r="A84" s="16"/>
      <c r="B84" s="16"/>
      <c r="C84" s="16"/>
      <c r="D84" s="16"/>
      <c r="E84" s="16"/>
      <c r="F84" s="16"/>
      <c r="G84" s="16"/>
      <c r="H84" s="16"/>
      <c r="I84" s="16"/>
      <c r="J84" s="16"/>
      <c r="K84" s="16"/>
      <c r="L84" s="16"/>
      <c r="M84" s="16"/>
      <c r="N84" s="220" t="s">
        <v>235</v>
      </c>
      <c r="O84" s="221" t="s">
        <v>236</v>
      </c>
      <c r="P84" s="221"/>
      <c r="Q84" s="226">
        <v>5.0000000000000001E-4</v>
      </c>
      <c r="R84" s="227">
        <v>1.4999999999999999E-2</v>
      </c>
      <c r="S84" s="223">
        <v>0</v>
      </c>
      <c r="T84" s="201">
        <f t="shared" si="10"/>
        <v>1.55E-2</v>
      </c>
      <c r="U84" s="201">
        <f t="shared" si="11"/>
        <v>2.1203830369357046E-4</v>
      </c>
      <c r="V84" s="7"/>
      <c r="W84" s="7"/>
      <c r="X84" s="7"/>
      <c r="Y84" s="7"/>
      <c r="Z84" s="224"/>
      <c r="AA84" s="182"/>
      <c r="AB84" s="182"/>
      <c r="AC84" s="182"/>
      <c r="AD84" s="224"/>
      <c r="AE84" s="224"/>
      <c r="AF84" s="224"/>
      <c r="AG84" s="224"/>
      <c r="AH84" s="187"/>
      <c r="AI84" s="187"/>
      <c r="AJ84" s="187"/>
      <c r="AK84" s="187"/>
      <c r="AL84" s="187"/>
      <c r="AM84" s="187"/>
      <c r="AN84" s="187"/>
      <c r="AO84" s="187"/>
      <c r="AP84" s="187"/>
      <c r="AQ84" s="187"/>
      <c r="AR84" s="187"/>
      <c r="AS84" s="187"/>
      <c r="AT84" s="224"/>
      <c r="AU84" s="224"/>
      <c r="AV84" s="224"/>
      <c r="AW84" s="224"/>
      <c r="AX84" s="224"/>
      <c r="AY84" s="224"/>
      <c r="AZ84" s="23"/>
      <c r="BA84" s="23"/>
      <c r="BB84"/>
      <c r="BC84"/>
      <c r="BD84"/>
    </row>
    <row r="85" spans="1:56" s="8" customFormat="1" x14ac:dyDescent="0.35">
      <c r="A85" s="16"/>
      <c r="B85" s="16"/>
      <c r="C85" s="16"/>
      <c r="D85" s="16"/>
      <c r="E85" s="16"/>
      <c r="F85" s="16"/>
      <c r="G85" s="16"/>
      <c r="H85" s="16"/>
      <c r="I85" s="16"/>
      <c r="J85" s="16"/>
      <c r="K85" s="16"/>
      <c r="L85" s="16"/>
      <c r="M85" s="16"/>
      <c r="N85" s="220" t="s">
        <v>237</v>
      </c>
      <c r="O85" s="221" t="s">
        <v>238</v>
      </c>
      <c r="P85" s="221"/>
      <c r="Q85" s="226">
        <v>8.1999999999999998E-4</v>
      </c>
      <c r="R85" s="223">
        <v>8.9999999999999993E-3</v>
      </c>
      <c r="S85" s="223">
        <v>0</v>
      </c>
      <c r="T85" s="201">
        <f t="shared" si="10"/>
        <v>9.8199999999999989E-3</v>
      </c>
      <c r="U85" s="201">
        <f t="shared" si="11"/>
        <v>1.3433652530779754E-4</v>
      </c>
      <c r="V85" s="7"/>
      <c r="W85" s="7"/>
      <c r="X85" s="7"/>
      <c r="Y85" s="7"/>
      <c r="Z85" s="224"/>
      <c r="AA85" s="182"/>
      <c r="AB85" s="182"/>
      <c r="AC85" s="182"/>
      <c r="AD85" s="224"/>
      <c r="AE85" s="224"/>
      <c r="AF85" s="224"/>
      <c r="AG85" s="224"/>
      <c r="AH85" s="187"/>
      <c r="AI85" s="187"/>
      <c r="AJ85" s="187"/>
      <c r="AK85" s="187"/>
      <c r="AL85" s="187"/>
      <c r="AM85" s="187"/>
      <c r="AN85" s="187"/>
      <c r="AO85" s="187"/>
      <c r="AP85" s="187"/>
      <c r="AQ85" s="187"/>
      <c r="AR85" s="187"/>
      <c r="AS85" s="187"/>
      <c r="AT85" s="224"/>
      <c r="AU85" s="224"/>
      <c r="AV85" s="224"/>
      <c r="AW85" s="224"/>
      <c r="AX85" s="224"/>
      <c r="AY85" s="224"/>
      <c r="AZ85" s="23"/>
      <c r="BA85" s="23"/>
      <c r="BB85"/>
      <c r="BC85"/>
      <c r="BD85"/>
    </row>
    <row r="86" spans="1:56" s="8" customFormat="1" x14ac:dyDescent="0.35">
      <c r="A86" s="16"/>
      <c r="B86" s="16"/>
      <c r="C86" s="16"/>
      <c r="D86" s="16"/>
      <c r="E86" s="16"/>
      <c r="F86" s="16"/>
      <c r="G86" s="16"/>
      <c r="H86" s="16"/>
      <c r="I86" s="16"/>
      <c r="J86" s="16"/>
      <c r="K86" s="16"/>
      <c r="L86" s="16"/>
      <c r="M86" s="16"/>
      <c r="N86" s="220" t="s">
        <v>239</v>
      </c>
      <c r="O86" s="221" t="s">
        <v>240</v>
      </c>
      <c r="P86" s="221"/>
      <c r="Q86" s="222">
        <v>0.1</v>
      </c>
      <c r="R86" s="223">
        <v>1</v>
      </c>
      <c r="S86" s="223">
        <v>0.01</v>
      </c>
      <c r="T86" s="201">
        <f t="shared" si="10"/>
        <v>1.1100000000000001</v>
      </c>
      <c r="U86" s="201">
        <f t="shared" si="11"/>
        <v>1.5184678522571823E-2</v>
      </c>
      <c r="V86" s="7"/>
      <c r="W86" s="7"/>
      <c r="X86" s="7"/>
      <c r="Y86" s="7"/>
      <c r="Z86" s="224"/>
      <c r="AA86" s="182"/>
      <c r="AB86" s="182"/>
      <c r="AC86" s="182"/>
      <c r="AD86" s="224"/>
      <c r="AE86" s="224"/>
      <c r="AF86" s="224"/>
      <c r="AG86" s="224"/>
      <c r="AH86" s="187"/>
      <c r="AI86" s="187"/>
      <c r="AJ86" s="187"/>
      <c r="AK86" s="187"/>
      <c r="AL86" s="187"/>
      <c r="AM86" s="187"/>
      <c r="AN86" s="187"/>
      <c r="AO86" s="187"/>
      <c r="AP86" s="187"/>
      <c r="AQ86" s="187"/>
      <c r="AR86" s="187"/>
      <c r="AS86" s="187"/>
      <c r="AT86" s="224"/>
      <c r="AU86" s="224"/>
      <c r="AV86" s="224"/>
      <c r="AW86" s="224"/>
      <c r="AX86" s="224"/>
      <c r="AY86" s="224"/>
      <c r="AZ86" s="23"/>
      <c r="BA86" s="23"/>
      <c r="BB86"/>
      <c r="BC86"/>
      <c r="BD86"/>
    </row>
    <row r="87" spans="1:56" s="8" customFormat="1" x14ac:dyDescent="0.35">
      <c r="A87" s="16"/>
      <c r="B87" s="16"/>
      <c r="C87" s="16"/>
      <c r="D87" s="16"/>
      <c r="E87" s="16"/>
      <c r="F87" s="16"/>
      <c r="G87" s="16"/>
      <c r="H87" s="16"/>
      <c r="I87" s="16"/>
      <c r="J87" s="16"/>
      <c r="K87" s="16"/>
      <c r="L87" s="16"/>
      <c r="M87" s="16"/>
      <c r="N87" s="220" t="s">
        <v>241</v>
      </c>
      <c r="O87" s="221" t="s">
        <v>242</v>
      </c>
      <c r="P87" s="221"/>
      <c r="Q87" s="222">
        <v>0.01</v>
      </c>
      <c r="R87" s="223">
        <v>0.124</v>
      </c>
      <c r="S87" s="223">
        <v>6.0000000000000001E-3</v>
      </c>
      <c r="T87" s="201">
        <f t="shared" si="10"/>
        <v>0.14000000000000001</v>
      </c>
      <c r="U87" s="201">
        <f t="shared" si="11"/>
        <v>1.9151846785225722E-3</v>
      </c>
      <c r="V87" s="7"/>
      <c r="W87" s="7"/>
      <c r="X87" s="7"/>
      <c r="Y87" s="7"/>
      <c r="Z87" s="224"/>
      <c r="AA87" s="182"/>
      <c r="AB87" s="182"/>
      <c r="AC87" s="182"/>
      <c r="AD87" s="224"/>
      <c r="AE87" s="224"/>
      <c r="AF87" s="224"/>
      <c r="AG87" s="224"/>
      <c r="AH87" s="187"/>
      <c r="AI87" s="187"/>
      <c r="AJ87" s="187"/>
      <c r="AK87" s="187"/>
      <c r="AL87" s="187"/>
      <c r="AM87" s="187"/>
      <c r="AN87" s="187"/>
      <c r="AO87" s="187"/>
      <c r="AP87" s="187"/>
      <c r="AQ87" s="187"/>
      <c r="AR87" s="187"/>
      <c r="AS87" s="187"/>
      <c r="AT87" s="224"/>
      <c r="AU87" s="224"/>
      <c r="AV87" s="224"/>
      <c r="AW87" s="224"/>
      <c r="AX87" s="224"/>
      <c r="AY87" s="224"/>
      <c r="AZ87" s="23"/>
      <c r="BA87" s="23"/>
      <c r="BB87"/>
      <c r="BC87"/>
      <c r="BD87"/>
    </row>
    <row r="88" spans="1:56" s="8" customFormat="1" x14ac:dyDescent="0.35">
      <c r="A88" s="16"/>
      <c r="B88" s="16"/>
      <c r="C88" s="16"/>
      <c r="D88" s="16"/>
      <c r="E88" s="16"/>
      <c r="F88" s="16"/>
      <c r="G88" s="16"/>
      <c r="H88" s="16"/>
      <c r="I88" s="16"/>
      <c r="J88" s="16"/>
      <c r="K88" s="16"/>
      <c r="L88" s="16"/>
      <c r="M88" s="16"/>
      <c r="N88" s="220" t="s">
        <v>243</v>
      </c>
      <c r="O88" s="221" t="s">
        <v>244</v>
      </c>
      <c r="P88" s="221"/>
      <c r="Q88" s="222">
        <v>1.0999999999999999E-2</v>
      </c>
      <c r="R88" s="223">
        <v>0.188</v>
      </c>
      <c r="S88" s="223">
        <v>2E-3</v>
      </c>
      <c r="T88" s="201">
        <f t="shared" si="10"/>
        <v>0.20100000000000001</v>
      </c>
      <c r="U88" s="201">
        <f t="shared" si="11"/>
        <v>2.7496580027359784E-3</v>
      </c>
      <c r="V88" s="7"/>
      <c r="W88" s="7"/>
      <c r="X88" s="7"/>
      <c r="Y88" s="7"/>
      <c r="Z88" s="224"/>
      <c r="AA88" s="182"/>
      <c r="AB88" s="182"/>
      <c r="AC88" s="182"/>
      <c r="AD88" s="224"/>
      <c r="AE88" s="224"/>
      <c r="AF88" s="224"/>
      <c r="AG88" s="224"/>
      <c r="AH88" s="187"/>
      <c r="AI88" s="187"/>
      <c r="AJ88" s="187"/>
      <c r="AK88" s="187"/>
      <c r="AL88" s="187"/>
      <c r="AM88" s="187"/>
      <c r="AN88" s="187"/>
      <c r="AO88" s="187"/>
      <c r="AP88" s="187"/>
      <c r="AQ88" s="187"/>
      <c r="AR88" s="187"/>
      <c r="AS88" s="187"/>
      <c r="AT88" s="224"/>
      <c r="AU88" s="224"/>
      <c r="AV88" s="224"/>
      <c r="AW88" s="224"/>
      <c r="AX88" s="224"/>
      <c r="AY88" s="224"/>
      <c r="AZ88" s="23"/>
      <c r="BA88" s="23"/>
      <c r="BB88"/>
      <c r="BC88"/>
      <c r="BD88"/>
    </row>
    <row r="89" spans="1:56" s="8" customFormat="1" x14ac:dyDescent="0.35">
      <c r="A89" s="16"/>
      <c r="B89" s="16"/>
      <c r="C89" s="16"/>
      <c r="D89" s="16"/>
      <c r="E89" s="16"/>
      <c r="F89" s="16"/>
      <c r="G89" s="16"/>
      <c r="H89" s="16"/>
      <c r="I89" s="16"/>
      <c r="J89" s="16"/>
      <c r="K89" s="16"/>
      <c r="L89" s="16"/>
      <c r="M89" s="16"/>
      <c r="N89" s="228" t="s">
        <v>245</v>
      </c>
      <c r="O89" s="229" t="s">
        <v>246</v>
      </c>
      <c r="P89" s="229"/>
      <c r="Q89" s="230">
        <v>0.3</v>
      </c>
      <c r="R89" s="231">
        <v>10.7</v>
      </c>
      <c r="S89" s="231">
        <v>0</v>
      </c>
      <c r="T89" s="210">
        <f t="shared" si="10"/>
        <v>11</v>
      </c>
      <c r="U89" s="210">
        <f t="shared" si="11"/>
        <v>0.15047879616963064</v>
      </c>
      <c r="V89" s="7"/>
      <c r="W89" s="7"/>
      <c r="X89" s="7"/>
      <c r="Y89" s="7"/>
      <c r="Z89" s="224"/>
      <c r="AA89" s="182"/>
      <c r="AB89" s="182"/>
      <c r="AC89" s="182"/>
      <c r="AD89" s="224"/>
      <c r="AE89" s="224"/>
      <c r="AF89" s="224"/>
      <c r="AG89" s="224"/>
      <c r="AH89" s="187"/>
      <c r="AI89" s="187"/>
      <c r="AJ89" s="187"/>
      <c r="AK89" s="187"/>
      <c r="AL89" s="187"/>
      <c r="AM89" s="187"/>
      <c r="AN89" s="187"/>
      <c r="AO89" s="187"/>
      <c r="AP89" s="187"/>
      <c r="AQ89" s="187"/>
      <c r="AR89" s="187"/>
      <c r="AS89" s="187"/>
      <c r="AT89" s="224"/>
      <c r="AU89" s="224"/>
      <c r="AV89" s="224"/>
      <c r="AW89" s="224"/>
      <c r="AX89" s="224"/>
      <c r="AY89" s="224"/>
      <c r="AZ89" s="23"/>
      <c r="BA89" s="23"/>
      <c r="BB89"/>
      <c r="BC89"/>
      <c r="BD89"/>
    </row>
    <row r="90" spans="1:56" s="8" customFormat="1" x14ac:dyDescent="0.35">
      <c r="A90" s="16"/>
      <c r="B90" s="16"/>
      <c r="C90" s="16"/>
      <c r="D90" s="16"/>
      <c r="E90" s="16"/>
      <c r="F90" s="16"/>
      <c r="G90" s="16"/>
      <c r="H90" s="16"/>
      <c r="I90" s="16"/>
      <c r="J90" s="16"/>
      <c r="K90" s="16"/>
      <c r="L90" s="16"/>
      <c r="M90" s="16"/>
      <c r="N90" s="16"/>
      <c r="O90" s="16"/>
      <c r="P90" s="16"/>
      <c r="Q90" s="16"/>
      <c r="R90" s="16"/>
      <c r="S90" s="16"/>
      <c r="T90" s="16"/>
      <c r="U90" s="16"/>
      <c r="V90" s="16"/>
      <c r="W90" s="7"/>
      <c r="X90" s="7"/>
      <c r="Y90" s="7"/>
      <c r="Z90" s="224"/>
      <c r="AA90" s="182"/>
      <c r="AB90" s="182"/>
      <c r="AC90" s="182"/>
      <c r="AD90" s="224"/>
      <c r="AE90" s="224"/>
      <c r="AF90" s="224"/>
      <c r="AG90" s="224"/>
      <c r="AH90" s="187"/>
      <c r="AI90" s="187"/>
      <c r="AJ90" s="187"/>
      <c r="AK90" s="187"/>
      <c r="AL90" s="187"/>
      <c r="AM90" s="187"/>
      <c r="AN90" s="187"/>
      <c r="AO90" s="187"/>
      <c r="AP90" s="187"/>
      <c r="AQ90" s="187"/>
      <c r="AR90" s="187"/>
      <c r="AS90" s="187"/>
      <c r="AT90" s="224"/>
      <c r="AU90" s="224"/>
      <c r="AV90" s="224"/>
      <c r="AW90" s="224"/>
      <c r="AX90" s="224"/>
      <c r="AY90" s="224"/>
      <c r="AZ90" s="23"/>
      <c r="BA90" s="23"/>
      <c r="BB90"/>
      <c r="BC90"/>
      <c r="BD90"/>
    </row>
    <row r="91" spans="1:56" s="8" customFormat="1" x14ac:dyDescent="0.35">
      <c r="A91" s="16"/>
      <c r="B91" s="16"/>
      <c r="C91" s="16"/>
      <c r="D91" s="16"/>
      <c r="E91" s="16"/>
      <c r="F91" s="16"/>
      <c r="G91" s="16"/>
      <c r="H91" s="16"/>
      <c r="I91" s="16"/>
      <c r="J91" s="16"/>
      <c r="K91" s="16"/>
      <c r="L91" s="16"/>
      <c r="M91" s="16"/>
      <c r="N91" s="16"/>
      <c r="O91" s="16"/>
      <c r="P91" s="16"/>
      <c r="Q91" s="16"/>
      <c r="R91" s="16"/>
      <c r="S91" s="16"/>
      <c r="T91" s="16"/>
      <c r="U91" s="16"/>
      <c r="V91" s="16"/>
      <c r="W91" s="7"/>
      <c r="X91" s="7"/>
      <c r="Y91" s="7"/>
      <c r="Z91" s="224"/>
      <c r="AA91" s="182"/>
      <c r="AB91" s="182"/>
      <c r="AC91" s="182"/>
      <c r="AD91" s="224"/>
      <c r="AE91" s="224"/>
      <c r="AF91" s="224"/>
      <c r="AG91" s="224"/>
      <c r="AH91" s="187"/>
      <c r="AI91" s="187"/>
      <c r="AJ91" s="187"/>
      <c r="AK91" s="187"/>
      <c r="AL91" s="187"/>
      <c r="AM91" s="187"/>
      <c r="AN91" s="187"/>
      <c r="AO91" s="187"/>
      <c r="AP91" s="187"/>
      <c r="AQ91" s="187"/>
      <c r="AR91" s="187"/>
      <c r="AS91" s="187"/>
      <c r="AT91" s="224"/>
      <c r="AU91" s="224"/>
      <c r="AV91" s="224"/>
      <c r="AW91" s="224"/>
      <c r="AX91" s="224"/>
      <c r="AY91" s="224"/>
      <c r="AZ91" s="23"/>
      <c r="BA91" s="23"/>
      <c r="BB91"/>
      <c r="BC91"/>
      <c r="BD91"/>
    </row>
    <row r="92" spans="1:56" s="8" customFormat="1" x14ac:dyDescent="0.35">
      <c r="A92" s="16"/>
      <c r="B92" s="16"/>
      <c r="C92" s="16"/>
      <c r="D92" s="16"/>
      <c r="E92" s="16"/>
      <c r="F92" s="16"/>
      <c r="G92" s="16"/>
      <c r="H92" s="16"/>
      <c r="I92" s="16"/>
      <c r="J92" s="16"/>
      <c r="K92" s="16"/>
      <c r="L92" s="16"/>
      <c r="M92" s="16"/>
      <c r="N92" s="16"/>
      <c r="O92" s="16"/>
      <c r="P92" s="16"/>
      <c r="Q92" s="16"/>
      <c r="R92" s="16"/>
      <c r="S92" s="16"/>
      <c r="T92" s="16"/>
      <c r="U92" s="16"/>
      <c r="V92" s="16"/>
      <c r="W92" s="7"/>
      <c r="X92" s="7"/>
      <c r="Y92" s="7"/>
      <c r="Z92" s="224"/>
      <c r="AA92" s="182"/>
      <c r="AB92" s="182"/>
      <c r="AC92" s="182"/>
      <c r="AD92" s="224"/>
      <c r="AE92" s="224"/>
      <c r="AF92" s="224"/>
      <c r="AG92" s="224"/>
      <c r="AH92" s="187"/>
      <c r="AI92" s="187"/>
      <c r="AJ92" s="187"/>
      <c r="AK92" s="187"/>
      <c r="AL92" s="187"/>
      <c r="AM92" s="187"/>
      <c r="AN92" s="187"/>
      <c r="AO92" s="187"/>
      <c r="AP92" s="187"/>
      <c r="AQ92" s="187"/>
      <c r="AR92" s="187"/>
      <c r="AS92" s="187"/>
      <c r="AT92" s="224"/>
      <c r="AU92" s="224"/>
      <c r="AV92" s="224"/>
      <c r="AW92" s="224"/>
      <c r="AX92" s="224"/>
      <c r="AY92" s="224"/>
      <c r="AZ92" s="23"/>
      <c r="BA92" s="23"/>
      <c r="BB92"/>
      <c r="BC92"/>
      <c r="BD92"/>
    </row>
    <row r="93" spans="1:56" s="8" customFormat="1" x14ac:dyDescent="0.35">
      <c r="A93" s="16"/>
      <c r="B93" s="16"/>
      <c r="C93" s="16"/>
      <c r="D93" s="16"/>
      <c r="E93" s="16"/>
      <c r="F93" s="16"/>
      <c r="G93" s="16"/>
      <c r="H93" s="16"/>
      <c r="I93" s="16"/>
      <c r="J93" s="16"/>
      <c r="K93" s="16"/>
      <c r="L93" s="16"/>
      <c r="M93" s="16"/>
      <c r="N93" s="16"/>
      <c r="O93" s="16"/>
      <c r="P93" s="16"/>
      <c r="Q93" s="16"/>
      <c r="R93" s="16"/>
      <c r="S93" s="16"/>
      <c r="T93" s="16"/>
      <c r="U93" s="16"/>
      <c r="V93" s="16"/>
      <c r="Y93" s="26"/>
      <c r="Z93" s="224"/>
      <c r="AA93" s="182"/>
      <c r="AB93" s="182"/>
      <c r="AC93" s="182"/>
      <c r="AD93" s="224"/>
      <c r="AE93" s="224"/>
      <c r="AF93" s="224"/>
      <c r="AG93" s="224"/>
      <c r="AH93" s="187"/>
      <c r="AI93" s="187"/>
      <c r="AJ93" s="187"/>
      <c r="AK93" s="187"/>
      <c r="AL93" s="187"/>
      <c r="AM93" s="187"/>
      <c r="AN93" s="187"/>
      <c r="AO93" s="187"/>
      <c r="AP93" s="187"/>
      <c r="AQ93" s="187"/>
      <c r="AR93" s="187"/>
      <c r="AS93" s="187"/>
      <c r="AT93" s="224"/>
      <c r="AU93" s="224"/>
      <c r="AV93" s="224"/>
      <c r="AW93" s="224"/>
      <c r="AX93" s="224"/>
      <c r="AY93" s="224"/>
      <c r="AZ93" s="23"/>
      <c r="BA93" s="23"/>
      <c r="BB93"/>
      <c r="BC93"/>
      <c r="BD93"/>
    </row>
    <row r="94" spans="1:56" s="8" customFormat="1" x14ac:dyDescent="0.35">
      <c r="A94" s="16"/>
      <c r="B94" s="16"/>
      <c r="C94" s="16"/>
      <c r="D94" s="16"/>
      <c r="E94" s="16"/>
      <c r="F94" s="16"/>
      <c r="G94" s="16"/>
      <c r="H94" s="16"/>
      <c r="I94" s="16"/>
      <c r="J94" s="16"/>
      <c r="K94" s="16"/>
      <c r="L94" s="16"/>
      <c r="M94" s="16"/>
      <c r="Y94" s="26"/>
      <c r="Z94" s="224"/>
      <c r="AA94" s="182"/>
      <c r="AB94" s="182"/>
      <c r="AC94" s="182"/>
      <c r="AD94" s="224"/>
      <c r="AE94" s="224"/>
      <c r="AF94" s="224"/>
      <c r="AG94" s="224"/>
      <c r="AH94" s="187"/>
      <c r="AI94" s="187"/>
      <c r="AJ94" s="187"/>
      <c r="AK94" s="187"/>
      <c r="AL94" s="187"/>
      <c r="AM94" s="187"/>
      <c r="AN94" s="187"/>
      <c r="AO94" s="187"/>
      <c r="AP94" s="187"/>
      <c r="AQ94" s="187"/>
      <c r="AR94" s="187"/>
      <c r="AS94" s="187"/>
      <c r="AT94" s="224"/>
      <c r="AU94" s="224"/>
      <c r="AV94" s="224"/>
      <c r="AW94" s="224"/>
      <c r="AX94" s="224"/>
      <c r="AY94" s="224"/>
      <c r="AZ94" s="23"/>
      <c r="BA94" s="23"/>
      <c r="BB94"/>
      <c r="BC94"/>
      <c r="BD94"/>
    </row>
    <row r="95" spans="1:56" s="8" customFormat="1" x14ac:dyDescent="0.35">
      <c r="A95" s="16"/>
      <c r="B95" s="16"/>
      <c r="C95" s="16"/>
      <c r="D95" s="16"/>
      <c r="E95" s="16"/>
      <c r="F95" s="16"/>
      <c r="G95" s="16"/>
      <c r="H95" s="16"/>
      <c r="I95" s="16"/>
      <c r="J95" s="16"/>
      <c r="K95" s="16"/>
      <c r="L95" s="16"/>
      <c r="M95" s="16"/>
      <c r="Y95" s="26"/>
      <c r="Z95" s="224"/>
      <c r="AA95" s="182"/>
      <c r="AB95" s="182"/>
      <c r="AC95" s="182"/>
      <c r="AD95" s="224"/>
      <c r="AE95" s="224"/>
      <c r="AF95" s="224"/>
      <c r="AG95" s="224"/>
      <c r="AH95" s="187"/>
      <c r="AI95" s="187"/>
      <c r="AJ95" s="187"/>
      <c r="AK95" s="187"/>
      <c r="AL95" s="187"/>
      <c r="AM95" s="187"/>
      <c r="AN95" s="187"/>
      <c r="AO95" s="187"/>
      <c r="AP95" s="187"/>
      <c r="AQ95" s="187"/>
      <c r="AR95" s="187"/>
      <c r="AS95" s="187"/>
      <c r="AT95" s="224"/>
      <c r="AU95" s="224"/>
      <c r="AV95" s="224"/>
      <c r="AW95" s="224"/>
      <c r="AX95" s="224"/>
      <c r="AY95" s="224"/>
      <c r="AZ95" s="23"/>
      <c r="BA95" s="23"/>
      <c r="BB95"/>
      <c r="BC95"/>
      <c r="BD95"/>
    </row>
    <row r="96" spans="1:56" s="8" customFormat="1" x14ac:dyDescent="0.35">
      <c r="A96" s="16"/>
      <c r="B96" s="16"/>
      <c r="C96" s="16"/>
      <c r="D96" s="16"/>
      <c r="E96" s="16"/>
      <c r="F96" s="16"/>
      <c r="G96" s="16"/>
      <c r="H96" s="16"/>
      <c r="I96" s="16"/>
      <c r="J96" s="16"/>
      <c r="K96" s="16"/>
      <c r="L96" s="16"/>
      <c r="M96" s="16"/>
      <c r="Z96" s="224"/>
      <c r="AA96" s="182"/>
      <c r="AB96" s="182"/>
      <c r="AC96" s="182"/>
      <c r="AD96" s="224"/>
      <c r="AE96" s="224"/>
      <c r="AF96" s="224"/>
      <c r="AG96" s="224"/>
      <c r="AH96" s="187"/>
      <c r="AI96" s="187"/>
      <c r="AJ96" s="187"/>
      <c r="AK96" s="187"/>
      <c r="AL96" s="187"/>
      <c r="AM96" s="187"/>
      <c r="AN96" s="187"/>
      <c r="AO96" s="187"/>
      <c r="AP96" s="187"/>
      <c r="AQ96" s="187"/>
      <c r="AR96" s="187"/>
      <c r="AS96" s="187"/>
      <c r="AT96" s="224"/>
      <c r="AU96" s="224"/>
      <c r="AV96" s="224"/>
      <c r="AW96" s="224"/>
      <c r="AX96" s="224"/>
      <c r="AY96" s="224"/>
      <c r="AZ96" s="23"/>
      <c r="BA96" s="23"/>
      <c r="BB96"/>
      <c r="BC96"/>
      <c r="BD96"/>
    </row>
    <row r="97" spans="1:56" s="8" customFormat="1" x14ac:dyDescent="0.35">
      <c r="A97" s="16"/>
      <c r="B97" s="16"/>
      <c r="C97" s="16"/>
      <c r="D97" s="16"/>
      <c r="E97" s="16"/>
      <c r="F97" s="16"/>
      <c r="G97" s="16"/>
      <c r="H97" s="16"/>
      <c r="I97" s="16"/>
      <c r="J97" s="16"/>
      <c r="K97" s="16"/>
      <c r="L97" s="16"/>
      <c r="M97" s="16"/>
      <c r="Z97" s="224"/>
      <c r="AA97" s="182"/>
      <c r="AB97" s="182"/>
      <c r="AC97" s="182"/>
      <c r="AD97" s="224"/>
      <c r="AE97" s="224"/>
      <c r="AF97" s="224"/>
      <c r="AG97" s="224"/>
      <c r="AH97" s="187"/>
      <c r="AI97" s="187"/>
      <c r="AJ97" s="187"/>
      <c r="AK97" s="187"/>
      <c r="AL97" s="187"/>
      <c r="AM97" s="187"/>
      <c r="AN97" s="187"/>
      <c r="AO97" s="187"/>
      <c r="AP97" s="187"/>
      <c r="AQ97" s="187"/>
      <c r="AR97" s="187"/>
      <c r="AS97" s="187"/>
      <c r="AT97" s="224"/>
      <c r="AU97" s="224"/>
      <c r="AV97" s="224"/>
      <c r="AW97" s="224"/>
      <c r="AX97" s="224"/>
      <c r="AY97" s="224"/>
      <c r="AZ97" s="23"/>
      <c r="BA97" s="23"/>
      <c r="BB97"/>
      <c r="BC97"/>
      <c r="BD97"/>
    </row>
    <row r="98" spans="1:56" s="8" customFormat="1" x14ac:dyDescent="0.35">
      <c r="A98" s="16"/>
      <c r="B98" s="16"/>
      <c r="C98" s="16"/>
      <c r="D98" s="16"/>
      <c r="E98" s="16"/>
      <c r="F98" s="16"/>
      <c r="G98" s="16"/>
      <c r="H98" s="16"/>
      <c r="I98" s="16"/>
      <c r="J98" s="16"/>
      <c r="K98" s="16"/>
      <c r="L98" s="16"/>
      <c r="M98" s="16"/>
      <c r="Z98" s="224"/>
      <c r="AA98" s="182"/>
      <c r="AB98" s="182"/>
      <c r="AC98" s="182"/>
      <c r="AD98" s="224"/>
      <c r="AE98" s="224"/>
      <c r="AF98" s="224"/>
      <c r="AG98" s="224"/>
      <c r="AH98" s="187"/>
      <c r="AI98" s="187"/>
      <c r="AJ98" s="187"/>
      <c r="AK98" s="187"/>
      <c r="AL98" s="187"/>
      <c r="AM98" s="187"/>
      <c r="AN98" s="187"/>
      <c r="AO98" s="187"/>
      <c r="AP98" s="187"/>
      <c r="AQ98" s="187"/>
      <c r="AR98" s="187"/>
      <c r="AS98" s="187"/>
      <c r="AT98" s="224"/>
      <c r="AU98" s="224"/>
      <c r="AV98" s="224"/>
      <c r="AW98" s="224"/>
      <c r="AX98" s="224"/>
      <c r="AY98" s="224"/>
      <c r="AZ98" s="23"/>
      <c r="BA98" s="23"/>
      <c r="BB98"/>
      <c r="BC98"/>
      <c r="BD98"/>
    </row>
    <row r="99" spans="1:56" s="8" customFormat="1" x14ac:dyDescent="0.35">
      <c r="A99" s="16"/>
      <c r="B99" s="16"/>
      <c r="C99" s="16"/>
      <c r="D99" s="16"/>
      <c r="E99" s="16"/>
      <c r="F99" s="16"/>
      <c r="G99" s="16"/>
      <c r="H99" s="16"/>
      <c r="I99" s="16"/>
      <c r="J99" s="16"/>
      <c r="K99" s="16"/>
      <c r="L99" s="16"/>
      <c r="M99" s="16"/>
      <c r="Z99" s="224"/>
      <c r="AA99" s="182"/>
      <c r="AB99" s="182"/>
      <c r="AC99" s="182"/>
      <c r="AD99" s="224"/>
      <c r="AE99" s="224"/>
      <c r="AF99" s="224"/>
      <c r="AG99" s="224"/>
      <c r="AH99" s="187"/>
      <c r="AI99" s="187"/>
      <c r="AJ99" s="187"/>
      <c r="AK99" s="187"/>
      <c r="AL99" s="187"/>
      <c r="AM99" s="187"/>
      <c r="AN99" s="187"/>
      <c r="AO99" s="187"/>
      <c r="AP99" s="187"/>
      <c r="AQ99" s="187"/>
      <c r="AR99" s="187"/>
      <c r="AS99" s="187"/>
      <c r="AT99" s="224"/>
      <c r="AU99" s="224"/>
      <c r="AV99" s="224"/>
      <c r="AW99" s="224"/>
      <c r="AX99" s="224"/>
      <c r="AY99" s="224"/>
      <c r="AZ99" s="23"/>
      <c r="BA99" s="23"/>
      <c r="BB99"/>
      <c r="BC99"/>
      <c r="BD99"/>
    </row>
    <row r="100" spans="1:56" s="8" customFormat="1" x14ac:dyDescent="0.35">
      <c r="A100" s="16"/>
      <c r="B100" s="16"/>
      <c r="C100" s="16"/>
      <c r="D100" s="16"/>
      <c r="E100" s="16"/>
      <c r="F100" s="16"/>
      <c r="G100" s="16"/>
      <c r="H100" s="16"/>
      <c r="I100" s="16"/>
      <c r="J100" s="16"/>
      <c r="K100" s="16"/>
      <c r="L100" s="16"/>
      <c r="M100" s="16"/>
      <c r="Z100" s="224"/>
      <c r="AA100" s="182"/>
      <c r="AB100" s="182"/>
      <c r="AC100" s="182"/>
      <c r="AD100" s="224"/>
      <c r="AE100" s="224"/>
      <c r="AF100" s="224"/>
      <c r="AG100" s="224"/>
      <c r="AH100" s="187"/>
      <c r="AI100" s="187"/>
      <c r="AJ100" s="187"/>
      <c r="AK100" s="187"/>
      <c r="AL100" s="187"/>
      <c r="AM100" s="187"/>
      <c r="AN100" s="187"/>
      <c r="AO100" s="187"/>
      <c r="AP100" s="187"/>
      <c r="AQ100" s="187"/>
      <c r="AR100" s="187"/>
      <c r="AS100" s="187"/>
      <c r="AT100" s="224"/>
      <c r="AU100" s="224"/>
      <c r="AV100" s="224"/>
      <c r="AW100" s="224"/>
      <c r="AX100" s="224"/>
      <c r="AY100" s="224"/>
      <c r="AZ100" s="23"/>
      <c r="BA100" s="23"/>
      <c r="BB100"/>
      <c r="BC100"/>
      <c r="BD100"/>
    </row>
    <row r="101" spans="1:56" s="8" customFormat="1" x14ac:dyDescent="0.35">
      <c r="A101" s="16"/>
      <c r="B101" s="16"/>
      <c r="C101" s="16"/>
      <c r="D101" s="16"/>
      <c r="E101" s="16"/>
      <c r="F101" s="16"/>
      <c r="G101" s="16"/>
      <c r="H101" s="16"/>
      <c r="I101" s="16"/>
      <c r="J101" s="16"/>
      <c r="K101" s="16"/>
      <c r="L101" s="16"/>
      <c r="M101" s="16"/>
      <c r="Z101" s="224"/>
      <c r="AA101" s="182"/>
      <c r="AB101" s="182"/>
      <c r="AC101" s="182"/>
      <c r="AD101" s="224"/>
      <c r="AE101" s="224"/>
      <c r="AF101" s="224"/>
      <c r="AG101" s="224"/>
      <c r="AH101" s="187"/>
      <c r="AI101" s="187"/>
      <c r="AJ101" s="187"/>
      <c r="AK101" s="187"/>
      <c r="AL101" s="187"/>
      <c r="AM101" s="187"/>
      <c r="AN101" s="187"/>
      <c r="AO101" s="187"/>
      <c r="AP101" s="187"/>
      <c r="AQ101" s="187"/>
      <c r="AR101" s="187"/>
      <c r="AS101" s="187"/>
      <c r="AT101" s="224"/>
      <c r="AU101" s="224"/>
      <c r="AV101" s="224"/>
      <c r="AW101" s="224"/>
      <c r="AX101" s="224"/>
      <c r="AY101" s="224"/>
      <c r="AZ101" s="23"/>
      <c r="BA101" s="23"/>
      <c r="BB101"/>
      <c r="BC101"/>
      <c r="BD101"/>
    </row>
    <row r="102" spans="1:56" s="8" customFormat="1" x14ac:dyDescent="0.35">
      <c r="A102" s="16"/>
      <c r="B102" s="16"/>
      <c r="C102" s="16"/>
      <c r="D102" s="16"/>
      <c r="E102" s="16"/>
      <c r="F102" s="16"/>
      <c r="G102" s="16"/>
      <c r="H102" s="16"/>
      <c r="I102" s="16"/>
      <c r="J102" s="16"/>
      <c r="K102" s="16"/>
      <c r="L102" s="16"/>
      <c r="M102" s="16"/>
      <c r="Z102" s="224"/>
      <c r="AA102" s="182"/>
      <c r="AB102" s="182"/>
      <c r="AC102" s="182"/>
      <c r="AD102" s="224"/>
      <c r="AE102" s="224"/>
      <c r="AF102" s="224"/>
      <c r="AG102" s="224"/>
      <c r="AH102" s="187"/>
      <c r="AI102" s="187"/>
      <c r="AJ102" s="187"/>
      <c r="AK102" s="187"/>
      <c r="AL102" s="187"/>
      <c r="AM102" s="187"/>
      <c r="AN102" s="187"/>
      <c r="AO102" s="187"/>
      <c r="AP102" s="187"/>
      <c r="AQ102" s="187"/>
      <c r="AR102" s="187"/>
      <c r="AS102" s="187"/>
      <c r="AT102" s="224"/>
      <c r="AU102" s="224"/>
      <c r="AV102" s="224"/>
      <c r="AW102" s="224"/>
      <c r="AX102" s="224"/>
      <c r="AY102" s="224"/>
      <c r="AZ102" s="23"/>
      <c r="BA102" s="23"/>
      <c r="BB102"/>
      <c r="BC102"/>
      <c r="BD102"/>
    </row>
    <row r="103" spans="1:56" s="8" customFormat="1" x14ac:dyDescent="0.35">
      <c r="A103" s="16"/>
      <c r="B103" s="16"/>
      <c r="C103" s="16"/>
      <c r="D103" s="16"/>
      <c r="E103" s="16"/>
      <c r="F103" s="16"/>
      <c r="G103" s="16"/>
      <c r="H103" s="16"/>
      <c r="I103" s="16"/>
      <c r="J103" s="16"/>
      <c r="K103" s="16"/>
      <c r="L103" s="16"/>
      <c r="M103" s="16"/>
      <c r="Z103" s="224"/>
      <c r="AA103" s="182"/>
      <c r="AB103" s="182"/>
      <c r="AC103" s="182"/>
      <c r="AD103" s="224"/>
      <c r="AE103" s="224"/>
      <c r="AF103" s="224"/>
      <c r="AG103" s="224"/>
      <c r="AH103" s="187"/>
      <c r="AI103" s="187"/>
      <c r="AJ103" s="187"/>
      <c r="AK103" s="187"/>
      <c r="AL103" s="187"/>
      <c r="AM103" s="187"/>
      <c r="AN103" s="187"/>
      <c r="AO103" s="187"/>
      <c r="AP103" s="187"/>
      <c r="AQ103" s="187"/>
      <c r="AR103" s="187"/>
      <c r="AS103" s="187"/>
      <c r="AT103" s="224"/>
      <c r="AU103" s="224"/>
      <c r="AV103" s="224"/>
      <c r="AW103" s="224"/>
      <c r="AX103" s="224"/>
      <c r="AY103" s="224"/>
      <c r="AZ103" s="23"/>
      <c r="BA103" s="23"/>
      <c r="BB103"/>
      <c r="BC103"/>
      <c r="BD103"/>
    </row>
    <row r="104" spans="1:56" s="8" customFormat="1" x14ac:dyDescent="0.35">
      <c r="A104" s="16"/>
      <c r="B104" s="16"/>
      <c r="C104" s="16"/>
      <c r="D104" s="16"/>
      <c r="E104" s="16"/>
      <c r="F104" s="16"/>
      <c r="G104" s="16"/>
      <c r="H104" s="16"/>
      <c r="I104" s="16"/>
      <c r="J104" s="16"/>
      <c r="K104" s="16"/>
      <c r="L104" s="16"/>
      <c r="M104" s="16"/>
      <c r="Z104" s="224"/>
      <c r="AA104" s="182"/>
      <c r="AB104" s="182"/>
      <c r="AC104" s="182"/>
      <c r="AD104" s="224"/>
      <c r="AE104" s="224"/>
      <c r="AF104" s="224"/>
      <c r="AG104" s="224"/>
      <c r="AH104" s="187"/>
      <c r="AI104" s="187"/>
      <c r="AJ104" s="187"/>
      <c r="AK104" s="187"/>
      <c r="AL104" s="187"/>
      <c r="AM104" s="187"/>
      <c r="AN104" s="187"/>
      <c r="AO104" s="187"/>
      <c r="AP104" s="187"/>
      <c r="AQ104" s="187"/>
      <c r="AR104" s="187"/>
      <c r="AS104" s="187"/>
      <c r="AT104" s="224"/>
      <c r="AU104" s="224"/>
      <c r="AV104" s="224"/>
      <c r="AW104" s="224"/>
      <c r="AX104" s="224"/>
      <c r="AY104" s="224"/>
      <c r="AZ104" s="23"/>
      <c r="BA104" s="23"/>
      <c r="BB104"/>
      <c r="BC104"/>
      <c r="BD104"/>
    </row>
    <row r="105" spans="1:56" s="8" customFormat="1" x14ac:dyDescent="0.35">
      <c r="A105" s="16"/>
      <c r="B105" s="16"/>
      <c r="C105" s="16"/>
      <c r="D105" s="16"/>
      <c r="E105" s="16"/>
      <c r="F105" s="16"/>
      <c r="G105" s="16"/>
      <c r="H105" s="16"/>
      <c r="I105" s="16"/>
      <c r="J105" s="16"/>
      <c r="K105" s="16"/>
      <c r="L105" s="16"/>
      <c r="M105" s="16"/>
      <c r="Z105" s="224"/>
      <c r="AA105" s="182"/>
      <c r="AB105" s="182"/>
      <c r="AC105" s="182"/>
      <c r="AD105" s="224"/>
      <c r="AE105" s="224"/>
      <c r="AF105" s="224"/>
      <c r="AG105" s="224"/>
      <c r="AH105" s="187"/>
      <c r="AI105" s="187"/>
      <c r="AJ105" s="187"/>
      <c r="AK105" s="187"/>
      <c r="AL105" s="187"/>
      <c r="AM105" s="187"/>
      <c r="AN105" s="187"/>
      <c r="AO105" s="187"/>
      <c r="AP105" s="187"/>
      <c r="AQ105" s="187"/>
      <c r="AR105" s="187"/>
      <c r="AS105" s="187"/>
      <c r="AT105" s="224"/>
      <c r="AU105" s="224"/>
      <c r="AV105" s="224"/>
      <c r="AW105" s="224"/>
      <c r="AX105" s="224"/>
      <c r="AY105" s="224"/>
      <c r="AZ105" s="23"/>
      <c r="BA105" s="23"/>
      <c r="BB105"/>
      <c r="BC105"/>
      <c r="BD105"/>
    </row>
    <row r="106" spans="1:56" s="8" customFormat="1" x14ac:dyDescent="0.35">
      <c r="A106" s="16"/>
      <c r="B106" s="16"/>
      <c r="C106" s="16"/>
      <c r="D106" s="16"/>
      <c r="E106" s="16"/>
      <c r="F106" s="16"/>
      <c r="G106" s="16"/>
      <c r="H106" s="16"/>
      <c r="I106" s="16"/>
      <c r="J106" s="16"/>
      <c r="K106" s="16"/>
      <c r="L106" s="16"/>
      <c r="M106" s="16"/>
      <c r="Z106" s="224"/>
      <c r="AA106" s="182"/>
      <c r="AB106" s="182"/>
      <c r="AC106" s="182"/>
      <c r="AD106" s="224"/>
      <c r="AE106" s="224"/>
      <c r="AF106" s="224"/>
      <c r="AG106" s="224"/>
      <c r="AH106" s="187"/>
      <c r="AI106" s="187"/>
      <c r="AJ106" s="187"/>
      <c r="AK106" s="187"/>
      <c r="AL106" s="187"/>
      <c r="AM106" s="187"/>
      <c r="AN106" s="187"/>
      <c r="AO106" s="187"/>
      <c r="AP106" s="187"/>
      <c r="AQ106" s="187"/>
      <c r="AR106" s="187"/>
      <c r="AS106" s="187"/>
      <c r="AT106" s="224"/>
      <c r="AU106" s="224"/>
      <c r="AV106" s="224"/>
      <c r="AW106" s="224"/>
      <c r="AX106" s="224"/>
      <c r="AY106" s="224"/>
      <c r="AZ106" s="23"/>
      <c r="BA106" s="23"/>
      <c r="BB106"/>
      <c r="BC106"/>
      <c r="BD106"/>
    </row>
    <row r="107" spans="1:56" s="8" customFormat="1" x14ac:dyDescent="0.35">
      <c r="A107" s="16"/>
      <c r="B107" s="16"/>
      <c r="C107" s="16"/>
      <c r="D107" s="16"/>
      <c r="E107" s="16"/>
      <c r="F107" s="16"/>
      <c r="G107" s="16"/>
      <c r="H107" s="16"/>
      <c r="I107" s="16"/>
      <c r="J107" s="16"/>
      <c r="K107" s="16"/>
      <c r="L107" s="16"/>
      <c r="M107" s="16"/>
      <c r="Z107" s="224"/>
      <c r="AA107" s="182"/>
      <c r="AB107" s="182"/>
      <c r="AC107" s="182"/>
      <c r="AD107" s="224"/>
      <c r="AE107" s="224"/>
      <c r="AF107" s="224"/>
      <c r="AG107" s="224"/>
      <c r="AH107" s="187"/>
      <c r="AI107" s="187"/>
      <c r="AJ107" s="187"/>
      <c r="AK107" s="187"/>
      <c r="AL107" s="187"/>
      <c r="AM107" s="187"/>
      <c r="AN107" s="187"/>
      <c r="AO107" s="187"/>
      <c r="AP107" s="187"/>
      <c r="AQ107" s="187"/>
      <c r="AR107" s="187"/>
      <c r="AS107" s="187"/>
      <c r="AT107" s="224"/>
      <c r="AU107" s="224"/>
      <c r="AV107" s="224"/>
      <c r="AW107" s="224"/>
      <c r="AX107" s="224"/>
      <c r="AY107" s="224"/>
      <c r="AZ107" s="23"/>
      <c r="BA107" s="23"/>
      <c r="BB107"/>
      <c r="BC107"/>
      <c r="BD107"/>
    </row>
    <row r="108" spans="1:56" s="8" customFormat="1" x14ac:dyDescent="0.35">
      <c r="A108" s="16"/>
      <c r="B108" s="16"/>
      <c r="C108" s="16"/>
      <c r="D108" s="16"/>
      <c r="E108" s="16"/>
      <c r="F108" s="16"/>
      <c r="G108" s="16"/>
      <c r="H108" s="16"/>
      <c r="I108" s="16"/>
      <c r="J108" s="16"/>
      <c r="K108" s="16"/>
      <c r="L108" s="16"/>
      <c r="M108" s="16"/>
      <c r="Z108" s="224"/>
      <c r="AA108" s="182"/>
      <c r="AB108" s="182"/>
      <c r="AC108" s="182"/>
      <c r="AD108" s="224"/>
      <c r="AE108" s="224"/>
      <c r="AF108" s="224"/>
      <c r="AG108" s="224"/>
      <c r="AH108" s="187"/>
      <c r="AI108" s="187"/>
      <c r="AJ108" s="187"/>
      <c r="AK108" s="187"/>
      <c r="AL108" s="187"/>
      <c r="AM108" s="187"/>
      <c r="AN108" s="187"/>
      <c r="AO108" s="187"/>
      <c r="AP108" s="187"/>
      <c r="AQ108" s="187"/>
      <c r="AR108" s="187"/>
      <c r="AS108" s="187"/>
      <c r="AT108" s="224"/>
      <c r="AU108" s="224"/>
      <c r="AV108" s="224"/>
      <c r="AW108" s="224"/>
      <c r="AX108" s="224"/>
      <c r="AY108" s="224"/>
      <c r="AZ108" s="23"/>
      <c r="BA108" s="23"/>
      <c r="BB108"/>
      <c r="BC108"/>
      <c r="BD108"/>
    </row>
    <row r="109" spans="1:56" s="8" customFormat="1" x14ac:dyDescent="0.35">
      <c r="A109" s="16"/>
      <c r="B109" s="16"/>
      <c r="C109" s="16"/>
      <c r="D109" s="16"/>
      <c r="E109" s="16"/>
      <c r="F109" s="16"/>
      <c r="G109" s="16"/>
      <c r="H109" s="16"/>
      <c r="I109" s="16"/>
      <c r="J109" s="16"/>
      <c r="K109" s="16"/>
      <c r="L109" s="16"/>
      <c r="M109" s="16"/>
      <c r="Z109" s="224"/>
      <c r="AA109" s="182"/>
      <c r="AB109" s="182"/>
      <c r="AC109" s="182"/>
      <c r="AD109" s="224"/>
      <c r="AE109" s="224"/>
      <c r="AF109" s="224"/>
      <c r="AG109" s="224"/>
      <c r="AH109" s="187"/>
      <c r="AI109" s="187"/>
      <c r="AJ109" s="187"/>
      <c r="AK109" s="187"/>
      <c r="AL109" s="187"/>
      <c r="AM109" s="187"/>
      <c r="AN109" s="187"/>
      <c r="AO109" s="187"/>
      <c r="AP109" s="187"/>
      <c r="AQ109" s="187"/>
      <c r="AR109" s="187"/>
      <c r="AS109" s="187"/>
      <c r="AT109" s="224"/>
      <c r="AU109" s="224"/>
      <c r="AV109" s="224"/>
      <c r="AW109" s="224"/>
      <c r="AX109" s="224"/>
      <c r="AY109" s="224"/>
      <c r="AZ109" s="23"/>
      <c r="BA109" s="23"/>
      <c r="BB109"/>
      <c r="BC109"/>
      <c r="BD109"/>
    </row>
    <row r="110" spans="1:56" s="8" customFormat="1" x14ac:dyDescent="0.35">
      <c r="A110" s="16"/>
      <c r="B110" s="16"/>
      <c r="C110" s="16"/>
      <c r="D110" s="16"/>
      <c r="E110" s="16"/>
      <c r="F110" s="16"/>
      <c r="G110" s="16"/>
      <c r="H110" s="16"/>
      <c r="I110" s="16"/>
      <c r="J110" s="16"/>
      <c r="K110" s="16"/>
      <c r="L110" s="16"/>
      <c r="M110" s="16"/>
      <c r="Z110" s="224"/>
      <c r="AA110" s="182"/>
      <c r="AB110" s="182"/>
      <c r="AC110" s="182"/>
      <c r="AD110" s="224"/>
      <c r="AE110" s="224"/>
      <c r="AF110" s="224"/>
      <c r="AG110" s="224"/>
      <c r="AH110" s="187"/>
      <c r="AI110" s="187"/>
      <c r="AJ110" s="187"/>
      <c r="AK110" s="187"/>
      <c r="AL110" s="187"/>
      <c r="AM110" s="187"/>
      <c r="AN110" s="187"/>
      <c r="AO110" s="187"/>
      <c r="AP110" s="187"/>
      <c r="AQ110" s="187"/>
      <c r="AR110" s="187"/>
      <c r="AS110" s="187"/>
      <c r="AT110" s="224"/>
      <c r="AU110" s="224"/>
      <c r="AV110" s="224"/>
      <c r="AW110" s="224"/>
      <c r="AX110" s="224"/>
      <c r="AY110" s="224"/>
      <c r="AZ110" s="23"/>
      <c r="BA110" s="23"/>
      <c r="BB110"/>
      <c r="BC110"/>
      <c r="BD110"/>
    </row>
    <row r="111" spans="1:56" s="8" customFormat="1" x14ac:dyDescent="0.35">
      <c r="A111" s="16"/>
      <c r="B111" s="16"/>
      <c r="C111" s="16"/>
      <c r="D111" s="16"/>
      <c r="E111" s="16"/>
      <c r="F111" s="16"/>
      <c r="G111" s="16"/>
      <c r="H111" s="16"/>
      <c r="I111" s="16"/>
      <c r="J111" s="16"/>
      <c r="K111" s="16"/>
      <c r="L111" s="16"/>
      <c r="M111" s="16"/>
      <c r="Z111" s="224"/>
      <c r="AA111" s="182"/>
      <c r="AB111" s="182"/>
      <c r="AC111" s="182"/>
      <c r="AD111" s="224"/>
      <c r="AE111" s="224"/>
      <c r="AF111" s="224"/>
      <c r="AG111" s="224"/>
      <c r="AH111" s="187"/>
      <c r="AI111" s="187"/>
      <c r="AJ111" s="187"/>
      <c r="AK111" s="187"/>
      <c r="AL111" s="187"/>
      <c r="AM111" s="187"/>
      <c r="AN111" s="187"/>
      <c r="AO111" s="187"/>
      <c r="AP111" s="187"/>
      <c r="AQ111" s="187"/>
      <c r="AR111" s="187"/>
      <c r="AS111" s="187"/>
      <c r="AT111" s="224"/>
      <c r="AU111" s="224"/>
      <c r="AV111" s="224"/>
      <c r="AW111" s="224"/>
      <c r="AX111" s="224"/>
      <c r="AY111" s="224"/>
      <c r="AZ111" s="23"/>
      <c r="BA111" s="23"/>
      <c r="BB111"/>
      <c r="BC111"/>
      <c r="BD111"/>
    </row>
    <row r="112" spans="1:56" s="8" customFormat="1" x14ac:dyDescent="0.35">
      <c r="A112" s="16"/>
      <c r="B112" s="16"/>
      <c r="C112" s="16"/>
      <c r="D112" s="16"/>
      <c r="E112" s="16"/>
      <c r="F112" s="16"/>
      <c r="G112" s="16"/>
      <c r="H112" s="16"/>
      <c r="I112" s="16"/>
      <c r="J112" s="16"/>
      <c r="K112" s="16"/>
      <c r="L112" s="16"/>
      <c r="M112" s="16"/>
      <c r="Z112" s="224"/>
      <c r="AA112" s="182"/>
      <c r="AB112" s="182"/>
      <c r="AC112" s="182"/>
      <c r="AD112" s="224"/>
      <c r="AE112" s="224"/>
      <c r="AF112" s="224"/>
      <c r="AG112" s="224"/>
      <c r="AH112" s="187"/>
      <c r="AI112" s="187"/>
      <c r="AJ112" s="187"/>
      <c r="AK112" s="187"/>
      <c r="AL112" s="187"/>
      <c r="AM112" s="187"/>
      <c r="AN112" s="187"/>
      <c r="AO112" s="187"/>
      <c r="AP112" s="187"/>
      <c r="AQ112" s="187"/>
      <c r="AR112" s="187"/>
      <c r="AS112" s="187"/>
      <c r="AT112" s="224"/>
      <c r="AU112" s="224"/>
      <c r="AV112" s="224"/>
      <c r="AW112" s="224"/>
      <c r="AX112" s="224"/>
      <c r="AY112" s="224"/>
      <c r="AZ112" s="23"/>
      <c r="BA112" s="23"/>
      <c r="BB112"/>
      <c r="BC112"/>
      <c r="BD112"/>
    </row>
    <row r="113" spans="1:56" s="8" customFormat="1" x14ac:dyDescent="0.35">
      <c r="A113" s="16"/>
      <c r="B113" s="16"/>
      <c r="C113" s="16"/>
      <c r="D113" s="16"/>
      <c r="E113" s="16"/>
      <c r="F113" s="16"/>
      <c r="G113" s="16"/>
      <c r="H113" s="16"/>
      <c r="I113" s="16"/>
      <c r="J113" s="16"/>
      <c r="K113" s="16"/>
      <c r="L113" s="16"/>
      <c r="M113" s="16"/>
      <c r="Z113" s="224"/>
      <c r="AA113" s="182"/>
      <c r="AB113" s="182"/>
      <c r="AC113" s="182"/>
      <c r="AD113" s="224"/>
      <c r="AE113" s="224"/>
      <c r="AF113" s="224"/>
      <c r="AG113" s="224"/>
      <c r="AH113" s="187"/>
      <c r="AI113" s="187"/>
      <c r="AJ113" s="187"/>
      <c r="AK113" s="187"/>
      <c r="AL113" s="187"/>
      <c r="AM113" s="187"/>
      <c r="AN113" s="187"/>
      <c r="AO113" s="187"/>
      <c r="AP113" s="187"/>
      <c r="AQ113" s="187"/>
      <c r="AR113" s="187"/>
      <c r="AS113" s="187"/>
      <c r="AT113" s="224"/>
      <c r="AU113" s="224"/>
      <c r="AV113" s="224"/>
      <c r="AW113" s="224"/>
      <c r="AX113" s="224"/>
      <c r="AY113" s="224"/>
      <c r="AZ113" s="23"/>
      <c r="BA113" s="23"/>
      <c r="BB113"/>
      <c r="BC113"/>
      <c r="BD113"/>
    </row>
    <row r="114" spans="1:56" s="8" customFormat="1" x14ac:dyDescent="0.35">
      <c r="A114" s="16"/>
      <c r="B114" s="16"/>
      <c r="C114" s="16"/>
      <c r="D114" s="16"/>
      <c r="E114" s="16"/>
      <c r="F114" s="16"/>
      <c r="G114" s="16"/>
      <c r="H114" s="16"/>
      <c r="I114" s="16"/>
      <c r="J114" s="16"/>
      <c r="K114" s="16"/>
      <c r="L114" s="16"/>
      <c r="M114" s="16"/>
      <c r="Z114" s="224"/>
      <c r="AA114" s="182"/>
      <c r="AB114" s="182"/>
      <c r="AC114" s="182"/>
      <c r="AD114" s="224"/>
      <c r="AE114" s="224"/>
      <c r="AF114" s="224"/>
      <c r="AG114" s="224"/>
      <c r="AH114" s="187"/>
      <c r="AI114" s="187"/>
      <c r="AJ114" s="187"/>
      <c r="AK114" s="187"/>
      <c r="AL114" s="187"/>
      <c r="AM114" s="187"/>
      <c r="AN114" s="187"/>
      <c r="AO114" s="187"/>
      <c r="AP114" s="187"/>
      <c r="AQ114" s="187"/>
      <c r="AR114" s="187"/>
      <c r="AS114" s="187"/>
      <c r="AT114" s="224"/>
      <c r="AU114" s="224"/>
      <c r="AV114" s="224"/>
      <c r="AW114" s="224"/>
      <c r="AX114" s="224"/>
      <c r="AY114" s="224"/>
      <c r="AZ114" s="23"/>
      <c r="BA114" s="23"/>
      <c r="BB114"/>
      <c r="BC114"/>
      <c r="BD114"/>
    </row>
    <row r="115" spans="1:56" s="8" customFormat="1" x14ac:dyDescent="0.35">
      <c r="A115" s="16"/>
      <c r="B115" s="16"/>
      <c r="C115" s="16"/>
      <c r="D115" s="16"/>
      <c r="E115" s="16"/>
      <c r="F115" s="16"/>
      <c r="G115" s="16"/>
      <c r="H115" s="16"/>
      <c r="I115" s="16"/>
      <c r="J115" s="16"/>
      <c r="K115" s="16"/>
      <c r="L115" s="16"/>
      <c r="M115" s="16"/>
      <c r="Z115" s="224"/>
      <c r="AA115" s="182"/>
      <c r="AB115" s="182"/>
      <c r="AC115" s="182"/>
      <c r="AD115" s="224"/>
      <c r="AE115" s="224"/>
      <c r="AF115" s="224"/>
      <c r="AG115" s="224"/>
      <c r="AH115" s="187"/>
      <c r="AI115" s="187"/>
      <c r="AJ115" s="187"/>
      <c r="AK115" s="187"/>
      <c r="AL115" s="187"/>
      <c r="AM115" s="187"/>
      <c r="AN115" s="187"/>
      <c r="AO115" s="187"/>
      <c r="AP115" s="187"/>
      <c r="AQ115" s="187"/>
      <c r="AR115" s="187"/>
      <c r="AS115" s="187"/>
      <c r="AT115" s="224"/>
      <c r="AU115" s="224"/>
      <c r="AV115" s="224"/>
      <c r="AW115" s="224"/>
      <c r="AX115" s="224"/>
      <c r="AY115" s="224"/>
      <c r="AZ115" s="23"/>
      <c r="BA115" s="23"/>
      <c r="BB115"/>
      <c r="BC115"/>
      <c r="BD115"/>
    </row>
    <row r="116" spans="1:56" s="8" customFormat="1" x14ac:dyDescent="0.35">
      <c r="A116" s="16"/>
      <c r="B116" s="16"/>
      <c r="C116" s="16"/>
      <c r="D116" s="16"/>
      <c r="E116" s="16"/>
      <c r="F116" s="16"/>
      <c r="G116" s="16"/>
      <c r="H116" s="16"/>
      <c r="I116" s="16"/>
      <c r="J116" s="16"/>
      <c r="K116" s="16"/>
      <c r="L116" s="16"/>
      <c r="M116" s="16"/>
      <c r="Z116" s="224"/>
      <c r="AA116" s="182"/>
      <c r="AB116" s="182"/>
      <c r="AC116" s="182"/>
      <c r="AD116" s="224"/>
      <c r="AE116" s="224"/>
      <c r="AF116" s="224"/>
      <c r="AG116" s="224"/>
      <c r="AH116" s="187"/>
      <c r="AI116" s="187"/>
      <c r="AJ116" s="187"/>
      <c r="AK116" s="187"/>
      <c r="AL116" s="187"/>
      <c r="AM116" s="187"/>
      <c r="AN116" s="187"/>
      <c r="AO116" s="187"/>
      <c r="AP116" s="187"/>
      <c r="AQ116" s="187"/>
      <c r="AR116" s="187"/>
      <c r="AS116" s="187"/>
      <c r="AT116" s="224"/>
      <c r="AU116" s="224"/>
      <c r="AV116" s="224"/>
      <c r="AW116" s="224"/>
      <c r="AX116" s="224"/>
      <c r="AY116" s="224"/>
      <c r="AZ116" s="23"/>
      <c r="BA116" s="23"/>
      <c r="BB116"/>
      <c r="BC116"/>
      <c r="BD116"/>
    </row>
    <row r="117" spans="1:56" s="8" customFormat="1" x14ac:dyDescent="0.35">
      <c r="A117" s="16"/>
      <c r="B117" s="16"/>
      <c r="C117" s="16"/>
      <c r="D117" s="16"/>
      <c r="E117" s="16"/>
      <c r="F117" s="16"/>
      <c r="G117" s="16"/>
      <c r="H117" s="16"/>
      <c r="I117" s="16"/>
      <c r="J117" s="16"/>
      <c r="K117" s="16"/>
      <c r="L117" s="16"/>
      <c r="M117" s="16"/>
      <c r="Z117" s="224"/>
      <c r="AA117" s="182"/>
      <c r="AB117" s="182"/>
      <c r="AC117" s="182"/>
      <c r="AD117" s="224"/>
      <c r="AE117" s="224"/>
      <c r="AF117" s="224"/>
      <c r="AG117" s="224"/>
      <c r="AH117" s="187"/>
      <c r="AI117" s="187"/>
      <c r="AJ117" s="187"/>
      <c r="AK117" s="187"/>
      <c r="AL117" s="187"/>
      <c r="AM117" s="187"/>
      <c r="AN117" s="187"/>
      <c r="AO117" s="187"/>
      <c r="AP117" s="187"/>
      <c r="AQ117" s="187"/>
      <c r="AR117" s="187"/>
      <c r="AS117" s="187"/>
      <c r="AT117" s="224"/>
      <c r="AU117" s="224"/>
      <c r="AV117" s="224"/>
      <c r="AW117" s="224"/>
      <c r="AX117" s="224"/>
      <c r="AY117" s="224"/>
      <c r="AZ117" s="23"/>
      <c r="BA117" s="23"/>
      <c r="BB117"/>
      <c r="BC117"/>
      <c r="BD117"/>
    </row>
    <row r="118" spans="1:56" s="8" customFormat="1" x14ac:dyDescent="0.35">
      <c r="A118" s="16"/>
      <c r="B118" s="16"/>
      <c r="C118" s="16"/>
      <c r="D118" s="16"/>
      <c r="E118" s="16"/>
      <c r="F118" s="16"/>
      <c r="G118" s="16"/>
      <c r="H118" s="16"/>
      <c r="I118" s="16"/>
      <c r="J118" s="16"/>
      <c r="K118" s="16"/>
      <c r="L118" s="16"/>
      <c r="M118" s="16"/>
      <c r="Z118" s="224"/>
      <c r="AA118" s="182"/>
      <c r="AB118" s="182"/>
      <c r="AC118" s="182"/>
      <c r="AD118" s="224"/>
      <c r="AE118" s="224"/>
      <c r="AF118" s="224"/>
      <c r="AG118" s="224"/>
      <c r="AH118" s="187"/>
      <c r="AI118" s="187"/>
      <c r="AJ118" s="187"/>
      <c r="AK118" s="187"/>
      <c r="AL118" s="187"/>
      <c r="AM118" s="187"/>
      <c r="AN118" s="187"/>
      <c r="AO118" s="187"/>
      <c r="AP118" s="187"/>
      <c r="AQ118" s="187"/>
      <c r="AR118" s="187"/>
      <c r="AS118" s="187"/>
      <c r="AT118" s="224"/>
      <c r="AU118" s="224"/>
      <c r="AV118" s="224"/>
      <c r="AW118" s="224"/>
      <c r="AX118" s="224"/>
      <c r="AY118" s="224"/>
      <c r="AZ118" s="23"/>
      <c r="BA118" s="23"/>
      <c r="BB118"/>
      <c r="BC118"/>
      <c r="BD118"/>
    </row>
    <row r="119" spans="1:56" s="8" customFormat="1" x14ac:dyDescent="0.35">
      <c r="A119" s="16"/>
      <c r="B119" s="16"/>
      <c r="C119" s="16"/>
      <c r="D119" s="16"/>
      <c r="E119" s="16"/>
      <c r="F119" s="16"/>
      <c r="G119" s="16"/>
      <c r="H119" s="16"/>
      <c r="I119" s="16"/>
      <c r="J119" s="16"/>
      <c r="K119" s="16"/>
      <c r="L119" s="16"/>
      <c r="M119" s="16"/>
      <c r="Z119" s="224"/>
      <c r="AA119" s="182"/>
      <c r="AB119" s="182"/>
      <c r="AC119" s="182"/>
      <c r="AD119" s="224"/>
      <c r="AE119" s="224"/>
      <c r="AF119" s="224"/>
      <c r="AG119" s="224"/>
      <c r="AH119" s="187"/>
      <c r="AI119" s="187"/>
      <c r="AJ119" s="187"/>
      <c r="AK119" s="187"/>
      <c r="AL119" s="187"/>
      <c r="AM119" s="187"/>
      <c r="AN119" s="187"/>
      <c r="AO119" s="187"/>
      <c r="AP119" s="187"/>
      <c r="AQ119" s="187"/>
      <c r="AR119" s="187"/>
      <c r="AS119" s="187"/>
      <c r="AT119" s="224"/>
      <c r="AU119" s="224"/>
      <c r="AV119" s="224"/>
      <c r="AW119" s="224"/>
      <c r="AX119" s="224"/>
      <c r="AY119" s="224"/>
      <c r="AZ119" s="23"/>
      <c r="BA119" s="23"/>
      <c r="BB119"/>
      <c r="BC119"/>
      <c r="BD119"/>
    </row>
    <row r="120" spans="1:56" s="8" customFormat="1" x14ac:dyDescent="0.35">
      <c r="A120" s="16"/>
      <c r="B120" s="16"/>
      <c r="C120" s="16"/>
      <c r="D120" s="16"/>
      <c r="E120" s="16"/>
      <c r="F120" s="16"/>
      <c r="G120" s="16"/>
      <c r="H120" s="16"/>
      <c r="I120" s="16"/>
      <c r="J120" s="16"/>
      <c r="K120" s="16"/>
      <c r="L120" s="16"/>
      <c r="M120" s="16"/>
      <c r="Z120" s="224"/>
      <c r="AA120" s="182"/>
      <c r="AB120" s="182"/>
      <c r="AC120" s="182"/>
      <c r="AD120" s="224"/>
      <c r="AE120" s="224"/>
      <c r="AF120" s="224"/>
      <c r="AG120" s="224"/>
      <c r="AH120" s="187"/>
      <c r="AI120" s="187"/>
      <c r="AJ120" s="187"/>
      <c r="AK120" s="187"/>
      <c r="AL120" s="187"/>
      <c r="AM120" s="187"/>
      <c r="AN120" s="187"/>
      <c r="AO120" s="187"/>
      <c r="AP120" s="187"/>
      <c r="AQ120" s="187"/>
      <c r="AR120" s="187"/>
      <c r="AS120" s="187"/>
      <c r="AT120" s="224"/>
      <c r="AU120" s="224"/>
      <c r="AV120" s="224"/>
      <c r="AW120" s="224"/>
      <c r="AX120" s="224"/>
      <c r="AY120" s="224"/>
      <c r="AZ120" s="23"/>
      <c r="BA120" s="23"/>
      <c r="BB120"/>
      <c r="BC120"/>
      <c r="BD120"/>
    </row>
    <row r="121" spans="1:56" s="8" customFormat="1" x14ac:dyDescent="0.35">
      <c r="A121" s="16"/>
      <c r="B121" s="16"/>
      <c r="C121" s="16"/>
      <c r="D121" s="16"/>
      <c r="E121" s="16"/>
      <c r="F121" s="16"/>
      <c r="G121" s="16"/>
      <c r="H121" s="16"/>
      <c r="I121" s="16"/>
      <c r="J121" s="16"/>
      <c r="K121" s="16"/>
      <c r="L121" s="16"/>
      <c r="M121" s="16"/>
      <c r="Z121" s="224"/>
      <c r="AA121" s="182"/>
      <c r="AB121" s="182"/>
      <c r="AC121" s="182"/>
      <c r="AD121" s="224"/>
      <c r="AE121" s="224"/>
      <c r="AF121" s="224"/>
      <c r="AG121" s="224"/>
      <c r="AH121" s="187"/>
      <c r="AI121" s="187"/>
      <c r="AJ121" s="187"/>
      <c r="AK121" s="187"/>
      <c r="AL121" s="187"/>
      <c r="AM121" s="187"/>
      <c r="AN121" s="187"/>
      <c r="AO121" s="187"/>
      <c r="AP121" s="187"/>
      <c r="AQ121" s="187"/>
      <c r="AR121" s="187"/>
      <c r="AS121" s="187"/>
      <c r="AT121" s="224"/>
      <c r="AU121" s="224"/>
      <c r="AV121" s="224"/>
      <c r="AW121" s="224"/>
      <c r="AX121" s="224"/>
      <c r="AY121" s="224"/>
      <c r="AZ121" s="23"/>
      <c r="BA121" s="23"/>
      <c r="BB121"/>
      <c r="BC121"/>
      <c r="BD121"/>
    </row>
    <row r="122" spans="1:56" s="8" customFormat="1" x14ac:dyDescent="0.35">
      <c r="A122" s="16"/>
      <c r="B122" s="16"/>
      <c r="C122" s="16"/>
      <c r="D122" s="16"/>
      <c r="E122" s="16"/>
      <c r="F122" s="16"/>
      <c r="G122" s="16"/>
      <c r="H122" s="16"/>
      <c r="I122" s="16"/>
      <c r="J122" s="16"/>
      <c r="K122" s="16"/>
      <c r="L122" s="16"/>
      <c r="M122" s="16"/>
      <c r="Z122" s="224"/>
      <c r="AA122" s="182"/>
      <c r="AB122" s="182"/>
      <c r="AC122" s="182"/>
      <c r="AD122" s="224"/>
      <c r="AE122" s="224"/>
      <c r="AF122" s="224"/>
      <c r="AG122" s="224"/>
      <c r="AH122" s="187"/>
      <c r="AI122" s="187"/>
      <c r="AJ122" s="187"/>
      <c r="AK122" s="187"/>
      <c r="AL122" s="187"/>
      <c r="AM122" s="187"/>
      <c r="AN122" s="187"/>
      <c r="AO122" s="187"/>
      <c r="AP122" s="187"/>
      <c r="AQ122" s="187"/>
      <c r="AR122" s="187"/>
      <c r="AS122" s="187"/>
      <c r="AT122" s="224"/>
      <c r="AU122" s="224"/>
      <c r="AV122" s="224"/>
      <c r="AW122" s="224"/>
      <c r="AX122" s="224"/>
      <c r="AY122" s="224"/>
      <c r="AZ122" s="23"/>
      <c r="BA122" s="23"/>
      <c r="BB122"/>
      <c r="BC122"/>
      <c r="BD122"/>
    </row>
    <row r="123" spans="1:56" s="8" customFormat="1" x14ac:dyDescent="0.35">
      <c r="A123" s="16"/>
      <c r="B123" s="16"/>
      <c r="C123" s="16"/>
      <c r="D123" s="16"/>
      <c r="E123" s="16"/>
      <c r="F123" s="16"/>
      <c r="G123" s="16"/>
      <c r="H123" s="16"/>
      <c r="I123" s="16"/>
      <c r="J123" s="16"/>
      <c r="K123" s="16"/>
      <c r="L123" s="16"/>
      <c r="M123" s="16"/>
      <c r="Z123" s="224"/>
      <c r="AA123" s="182"/>
      <c r="AB123" s="182"/>
      <c r="AC123" s="182"/>
      <c r="AD123" s="224"/>
      <c r="AE123" s="224"/>
      <c r="AF123" s="224"/>
      <c r="AG123" s="224"/>
      <c r="AH123" s="187"/>
      <c r="AI123" s="187"/>
      <c r="AJ123" s="187"/>
      <c r="AK123" s="187"/>
      <c r="AL123" s="187"/>
      <c r="AM123" s="187"/>
      <c r="AN123" s="187"/>
      <c r="AO123" s="187"/>
      <c r="AP123" s="187"/>
      <c r="AQ123" s="187"/>
      <c r="AR123" s="187"/>
      <c r="AS123" s="187"/>
      <c r="AT123" s="224"/>
      <c r="AU123" s="224"/>
      <c r="AV123" s="224"/>
      <c r="AW123" s="224"/>
      <c r="AX123" s="224"/>
      <c r="AY123" s="224"/>
      <c r="AZ123" s="23"/>
      <c r="BA123" s="23"/>
      <c r="BB123"/>
      <c r="BC123"/>
      <c r="BD123"/>
    </row>
    <row r="124" spans="1:56" s="8" customFormat="1" x14ac:dyDescent="0.35">
      <c r="A124" s="16"/>
      <c r="B124" s="16"/>
      <c r="C124" s="16"/>
      <c r="D124" s="16"/>
      <c r="E124" s="16"/>
      <c r="F124" s="16"/>
      <c r="G124" s="16"/>
      <c r="H124" s="16"/>
      <c r="I124" s="16"/>
      <c r="J124" s="16"/>
      <c r="K124" s="16"/>
      <c r="L124" s="16"/>
      <c r="M124" s="16"/>
      <c r="Z124" s="224"/>
      <c r="AA124" s="182"/>
      <c r="AB124" s="182"/>
      <c r="AC124" s="182"/>
      <c r="AD124" s="224"/>
      <c r="AE124" s="224"/>
      <c r="AF124" s="224"/>
      <c r="AG124" s="224"/>
      <c r="AH124" s="187"/>
      <c r="AI124" s="187"/>
      <c r="AJ124" s="187"/>
      <c r="AK124" s="187"/>
      <c r="AL124" s="187"/>
      <c r="AM124" s="187"/>
      <c r="AN124" s="187"/>
      <c r="AO124" s="187"/>
      <c r="AP124" s="187"/>
      <c r="AQ124" s="187"/>
      <c r="AR124" s="187"/>
      <c r="AS124" s="187"/>
      <c r="AT124" s="224"/>
      <c r="AU124" s="224"/>
      <c r="AV124" s="224"/>
      <c r="AW124" s="224"/>
      <c r="AX124" s="224"/>
      <c r="AY124" s="224"/>
      <c r="AZ124" s="23"/>
      <c r="BA124" s="23"/>
      <c r="BB124"/>
      <c r="BC124"/>
      <c r="BD124"/>
    </row>
    <row r="125" spans="1:56" s="8" customFormat="1" x14ac:dyDescent="0.35">
      <c r="A125" s="16"/>
      <c r="B125" s="16"/>
      <c r="C125" s="16"/>
      <c r="D125" s="16"/>
      <c r="E125" s="16"/>
      <c r="F125" s="16"/>
      <c r="G125" s="16"/>
      <c r="H125" s="16"/>
      <c r="I125" s="16"/>
      <c r="J125" s="16"/>
      <c r="K125" s="16"/>
      <c r="L125" s="16"/>
      <c r="M125" s="16"/>
      <c r="Z125" s="224"/>
      <c r="AA125" s="182"/>
      <c r="AB125" s="182"/>
      <c r="AC125" s="182"/>
      <c r="AD125" s="224"/>
      <c r="AE125" s="224"/>
      <c r="AF125" s="224"/>
      <c r="AG125" s="224"/>
      <c r="AH125" s="187"/>
      <c r="AI125" s="187"/>
      <c r="AJ125" s="187"/>
      <c r="AK125" s="187"/>
      <c r="AL125" s="187"/>
      <c r="AM125" s="187"/>
      <c r="AN125" s="187"/>
      <c r="AO125" s="187"/>
      <c r="AP125" s="187"/>
      <c r="AQ125" s="187"/>
      <c r="AR125" s="187"/>
      <c r="AS125" s="187"/>
      <c r="AT125" s="224"/>
      <c r="AU125" s="224"/>
      <c r="AV125" s="224"/>
      <c r="AW125" s="224"/>
      <c r="AX125" s="224"/>
      <c r="AY125" s="224"/>
      <c r="AZ125" s="23"/>
      <c r="BA125" s="23"/>
      <c r="BB125"/>
      <c r="BC125"/>
      <c r="BD125"/>
    </row>
    <row r="126" spans="1:56" s="8" customFormat="1" x14ac:dyDescent="0.35">
      <c r="A126" s="16"/>
      <c r="B126" s="16"/>
      <c r="C126" s="16"/>
      <c r="D126" s="16"/>
      <c r="E126" s="16"/>
      <c r="F126" s="16"/>
      <c r="G126" s="16"/>
      <c r="H126" s="16"/>
      <c r="I126" s="16"/>
      <c r="J126" s="16"/>
      <c r="K126" s="16"/>
      <c r="L126" s="16"/>
      <c r="M126" s="16"/>
      <c r="Z126" s="224"/>
      <c r="AA126" s="182"/>
      <c r="AB126" s="182"/>
      <c r="AC126" s="182"/>
      <c r="AD126" s="224"/>
      <c r="AE126" s="224"/>
      <c r="AF126" s="224"/>
      <c r="AG126" s="224"/>
      <c r="AH126" s="187"/>
      <c r="AI126" s="187"/>
      <c r="AJ126" s="187"/>
      <c r="AK126" s="187"/>
      <c r="AL126" s="187"/>
      <c r="AM126" s="187"/>
      <c r="AN126" s="187"/>
      <c r="AO126" s="187"/>
      <c r="AP126" s="187"/>
      <c r="AQ126" s="187"/>
      <c r="AR126" s="187"/>
      <c r="AS126" s="187"/>
      <c r="AT126" s="224"/>
      <c r="AU126" s="224"/>
      <c r="AV126" s="224"/>
      <c r="AW126" s="224"/>
      <c r="AX126" s="224"/>
      <c r="AY126" s="224"/>
      <c r="AZ126" s="23"/>
      <c r="BA126" s="23"/>
      <c r="BB126"/>
      <c r="BC126"/>
      <c r="BD126"/>
    </row>
    <row r="127" spans="1:56" s="8" customFormat="1" x14ac:dyDescent="0.35">
      <c r="A127" s="16"/>
      <c r="B127" s="16"/>
      <c r="C127" s="16"/>
      <c r="D127" s="16"/>
      <c r="E127" s="16"/>
      <c r="F127" s="16"/>
      <c r="G127" s="16"/>
      <c r="H127" s="16"/>
      <c r="I127" s="16"/>
      <c r="J127" s="16"/>
      <c r="K127" s="16"/>
      <c r="L127" s="16"/>
      <c r="M127" s="16"/>
      <c r="Z127" s="224"/>
      <c r="AA127" s="182"/>
      <c r="AB127" s="182"/>
      <c r="AC127" s="182"/>
      <c r="AD127" s="224"/>
      <c r="AE127" s="224"/>
      <c r="AF127" s="224"/>
      <c r="AG127" s="224"/>
      <c r="AH127" s="187"/>
      <c r="AI127" s="187"/>
      <c r="AJ127" s="187"/>
      <c r="AK127" s="187"/>
      <c r="AL127" s="187"/>
      <c r="AM127" s="187"/>
      <c r="AN127" s="187"/>
      <c r="AO127" s="187"/>
      <c r="AP127" s="187"/>
      <c r="AQ127" s="187"/>
      <c r="AR127" s="187"/>
      <c r="AS127" s="187"/>
      <c r="AT127" s="224"/>
      <c r="AU127" s="224"/>
      <c r="AV127" s="224"/>
      <c r="AW127" s="224"/>
      <c r="AX127" s="224"/>
      <c r="AY127" s="224"/>
      <c r="AZ127" s="23"/>
      <c r="BA127" s="23"/>
      <c r="BB127"/>
      <c r="BC127"/>
      <c r="BD127"/>
    </row>
    <row r="128" spans="1:56" s="8" customFormat="1" x14ac:dyDescent="0.35">
      <c r="A128" s="16"/>
      <c r="B128" s="16"/>
      <c r="C128" s="16"/>
      <c r="D128" s="16"/>
      <c r="E128" s="16"/>
      <c r="F128" s="16"/>
      <c r="G128" s="16"/>
      <c r="H128" s="16"/>
      <c r="I128" s="16"/>
      <c r="J128" s="16"/>
      <c r="K128" s="16"/>
      <c r="L128" s="16"/>
      <c r="M128" s="16"/>
      <c r="Z128" s="224"/>
      <c r="AA128" s="182"/>
      <c r="AB128" s="182"/>
      <c r="AC128" s="182"/>
      <c r="AD128" s="224"/>
      <c r="AE128" s="224"/>
      <c r="AF128" s="224"/>
      <c r="AG128" s="224"/>
      <c r="AH128" s="187"/>
      <c r="AI128" s="187"/>
      <c r="AJ128" s="187"/>
      <c r="AK128" s="187"/>
      <c r="AL128" s="187"/>
      <c r="AM128" s="187"/>
      <c r="AN128" s="187"/>
      <c r="AO128" s="187"/>
      <c r="AP128" s="187"/>
      <c r="AQ128" s="187"/>
      <c r="AR128" s="187"/>
      <c r="AS128" s="187"/>
      <c r="AT128" s="224"/>
      <c r="AU128" s="224"/>
      <c r="AV128" s="224"/>
      <c r="AW128" s="224"/>
      <c r="AX128" s="224"/>
      <c r="AY128" s="224"/>
      <c r="AZ128" s="23"/>
      <c r="BA128" s="23"/>
      <c r="BB128"/>
      <c r="BC128"/>
      <c r="BD128"/>
    </row>
    <row r="129" spans="1:56" s="8" customFormat="1" x14ac:dyDescent="0.35">
      <c r="A129" s="16"/>
      <c r="B129" s="16"/>
      <c r="C129" s="16"/>
      <c r="D129" s="16"/>
      <c r="E129" s="16"/>
      <c r="F129" s="16"/>
      <c r="G129" s="16"/>
      <c r="H129" s="16"/>
      <c r="I129" s="16"/>
      <c r="J129" s="16"/>
      <c r="K129" s="16"/>
      <c r="L129" s="16"/>
      <c r="M129" s="16"/>
      <c r="Z129" s="224"/>
      <c r="AA129" s="182"/>
      <c r="AB129" s="182"/>
      <c r="AC129" s="182"/>
      <c r="AD129" s="224"/>
      <c r="AE129" s="224"/>
      <c r="AF129" s="224"/>
      <c r="AG129" s="224"/>
      <c r="AH129" s="187"/>
      <c r="AI129" s="187"/>
      <c r="AJ129" s="187"/>
      <c r="AK129" s="187"/>
      <c r="AL129" s="187"/>
      <c r="AM129" s="187"/>
      <c r="AN129" s="187"/>
      <c r="AO129" s="187"/>
      <c r="AP129" s="187"/>
      <c r="AQ129" s="187"/>
      <c r="AR129" s="187"/>
      <c r="AS129" s="187"/>
      <c r="AT129" s="224"/>
      <c r="AU129" s="224"/>
      <c r="AV129" s="224"/>
      <c r="AW129" s="224"/>
      <c r="AX129" s="224"/>
      <c r="AY129" s="224"/>
      <c r="AZ129" s="23"/>
      <c r="BA129" s="23"/>
      <c r="BB129"/>
      <c r="BC129"/>
      <c r="BD129"/>
    </row>
    <row r="130" spans="1:56" s="8" customFormat="1" x14ac:dyDescent="0.35">
      <c r="A130" s="16"/>
      <c r="B130" s="16"/>
      <c r="C130" s="16"/>
      <c r="D130" s="16"/>
      <c r="E130" s="16"/>
      <c r="F130" s="16"/>
      <c r="G130" s="16"/>
      <c r="H130" s="16"/>
      <c r="I130" s="16"/>
      <c r="J130" s="16"/>
      <c r="K130" s="16"/>
      <c r="L130" s="16"/>
      <c r="M130" s="16"/>
      <c r="Z130" s="224"/>
      <c r="AA130" s="182"/>
      <c r="AB130" s="182"/>
      <c r="AC130" s="182"/>
      <c r="AD130" s="224"/>
      <c r="AE130" s="224"/>
      <c r="AF130" s="224"/>
      <c r="AG130" s="224"/>
      <c r="AH130" s="187"/>
      <c r="AI130" s="187"/>
      <c r="AJ130" s="187"/>
      <c r="AK130" s="187"/>
      <c r="AL130" s="187"/>
      <c r="AM130" s="187"/>
      <c r="AN130" s="187"/>
      <c r="AO130" s="187"/>
      <c r="AP130" s="187"/>
      <c r="AQ130" s="187"/>
      <c r="AR130" s="187"/>
      <c r="AS130" s="187"/>
      <c r="AT130" s="224"/>
      <c r="AU130" s="224"/>
      <c r="AV130" s="224"/>
      <c r="AW130" s="224"/>
      <c r="AX130" s="224"/>
      <c r="AY130" s="224"/>
      <c r="AZ130" s="23"/>
      <c r="BA130" s="23"/>
      <c r="BB130"/>
      <c r="BC130"/>
      <c r="BD130"/>
    </row>
    <row r="131" spans="1:56" s="8" customFormat="1" x14ac:dyDescent="0.35">
      <c r="A131" s="16"/>
      <c r="B131" s="16"/>
      <c r="C131" s="16"/>
      <c r="D131" s="16"/>
      <c r="E131" s="16"/>
      <c r="F131" s="16"/>
      <c r="G131" s="16"/>
      <c r="H131" s="16"/>
      <c r="I131" s="16"/>
      <c r="J131" s="16"/>
      <c r="K131" s="16"/>
      <c r="L131" s="16"/>
      <c r="M131" s="16"/>
      <c r="Z131" s="224"/>
      <c r="AA131" s="182"/>
      <c r="AB131" s="182"/>
      <c r="AC131" s="182"/>
      <c r="AD131" s="224"/>
      <c r="AE131" s="224"/>
      <c r="AF131" s="224"/>
      <c r="AG131" s="224"/>
      <c r="AH131" s="187"/>
      <c r="AI131" s="187"/>
      <c r="AJ131" s="187"/>
      <c r="AK131" s="187"/>
      <c r="AL131" s="187"/>
      <c r="AM131" s="187"/>
      <c r="AN131" s="187"/>
      <c r="AO131" s="187"/>
      <c r="AP131" s="187"/>
      <c r="AQ131" s="187"/>
      <c r="AR131" s="187"/>
      <c r="AS131" s="187"/>
      <c r="AT131" s="224"/>
      <c r="AU131" s="224"/>
      <c r="AV131" s="224"/>
      <c r="AW131" s="224"/>
      <c r="AX131" s="224"/>
      <c r="AY131" s="224"/>
      <c r="AZ131" s="23"/>
      <c r="BA131" s="23"/>
      <c r="BB131"/>
      <c r="BC131"/>
      <c r="BD131"/>
    </row>
    <row r="132" spans="1:56" s="8" customFormat="1" x14ac:dyDescent="0.35">
      <c r="A132" s="16"/>
      <c r="B132" s="16"/>
      <c r="C132" s="16"/>
      <c r="D132" s="16"/>
      <c r="E132" s="16"/>
      <c r="F132" s="16"/>
      <c r="G132" s="16"/>
      <c r="H132" s="16"/>
      <c r="I132" s="16"/>
      <c r="J132" s="16"/>
      <c r="K132" s="16"/>
      <c r="L132" s="16"/>
      <c r="M132" s="16"/>
      <c r="Z132" s="224"/>
      <c r="AA132" s="182"/>
      <c r="AB132" s="182"/>
      <c r="AC132" s="182"/>
      <c r="AD132" s="224"/>
      <c r="AE132" s="224"/>
      <c r="AF132" s="224"/>
      <c r="AG132" s="224"/>
      <c r="AH132" s="187"/>
      <c r="AI132" s="187"/>
      <c r="AJ132" s="187"/>
      <c r="AK132" s="187"/>
      <c r="AL132" s="187"/>
      <c r="AM132" s="187"/>
      <c r="AN132" s="187"/>
      <c r="AO132" s="187"/>
      <c r="AP132" s="187"/>
      <c r="AQ132" s="187"/>
      <c r="AR132" s="187"/>
      <c r="AS132" s="187"/>
      <c r="AT132" s="224"/>
      <c r="AU132" s="224"/>
      <c r="AV132" s="224"/>
      <c r="AW132" s="224"/>
      <c r="AX132" s="224"/>
      <c r="AY132" s="224"/>
      <c r="AZ132" s="23"/>
      <c r="BA132" s="23"/>
      <c r="BB132"/>
      <c r="BC132"/>
      <c r="BD132"/>
    </row>
    <row r="133" spans="1:56" s="8" customFormat="1" x14ac:dyDescent="0.35">
      <c r="A133" s="16"/>
      <c r="B133" s="16"/>
      <c r="C133" s="16"/>
      <c r="D133" s="16"/>
      <c r="E133" s="16"/>
      <c r="F133" s="16"/>
      <c r="G133" s="16"/>
      <c r="H133" s="16"/>
      <c r="I133" s="16"/>
      <c r="J133" s="16"/>
      <c r="K133" s="16"/>
      <c r="L133" s="16"/>
      <c r="M133" s="16"/>
      <c r="Z133" s="224"/>
      <c r="AA133" s="182"/>
      <c r="AB133" s="182"/>
      <c r="AC133" s="182"/>
      <c r="AD133" s="224"/>
      <c r="AE133" s="224"/>
      <c r="AF133" s="224"/>
      <c r="AG133" s="224"/>
      <c r="AH133" s="187"/>
      <c r="AI133" s="187"/>
      <c r="AJ133" s="187"/>
      <c r="AK133" s="187"/>
      <c r="AL133" s="187"/>
      <c r="AM133" s="187"/>
      <c r="AN133" s="187"/>
      <c r="AO133" s="187"/>
      <c r="AP133" s="187"/>
      <c r="AQ133" s="187"/>
      <c r="AR133" s="187"/>
      <c r="AS133" s="187"/>
      <c r="AT133" s="224"/>
      <c r="AU133" s="224"/>
      <c r="AV133" s="224"/>
      <c r="AW133" s="224"/>
      <c r="AX133" s="224"/>
      <c r="AY133" s="224"/>
      <c r="AZ133" s="23"/>
      <c r="BA133" s="23"/>
      <c r="BB133"/>
      <c r="BC133"/>
      <c r="BD133"/>
    </row>
    <row r="134" spans="1:56" s="8" customFormat="1" x14ac:dyDescent="0.35">
      <c r="A134" s="16"/>
      <c r="B134" s="16"/>
      <c r="C134" s="16"/>
      <c r="D134" s="16"/>
      <c r="E134" s="16"/>
      <c r="F134" s="16"/>
      <c r="G134" s="16"/>
      <c r="H134" s="16"/>
      <c r="I134" s="16"/>
      <c r="J134" s="16"/>
      <c r="K134" s="16"/>
      <c r="L134" s="16"/>
      <c r="M134" s="16"/>
      <c r="Z134" s="224"/>
      <c r="AA134" s="182"/>
      <c r="AB134" s="182"/>
      <c r="AC134" s="182"/>
      <c r="AD134" s="224"/>
      <c r="AE134" s="224"/>
      <c r="AF134" s="224"/>
      <c r="AG134" s="224"/>
      <c r="AH134" s="187"/>
      <c r="AI134" s="187"/>
      <c r="AJ134" s="187"/>
      <c r="AK134" s="187"/>
      <c r="AL134" s="187"/>
      <c r="AM134" s="187"/>
      <c r="AN134" s="187"/>
      <c r="AO134" s="187"/>
      <c r="AP134" s="187"/>
      <c r="AQ134" s="187"/>
      <c r="AR134" s="187"/>
      <c r="AS134" s="187"/>
      <c r="AT134" s="224"/>
      <c r="AU134" s="224"/>
      <c r="AV134" s="224"/>
      <c r="AW134" s="224"/>
      <c r="AX134" s="224"/>
      <c r="AY134" s="224"/>
      <c r="AZ134" s="23"/>
      <c r="BA134" s="23"/>
      <c r="BB134"/>
      <c r="BC134"/>
      <c r="BD134"/>
    </row>
    <row r="135" spans="1:56" s="8" customFormat="1" x14ac:dyDescent="0.35">
      <c r="A135" s="16"/>
      <c r="B135" s="16"/>
      <c r="C135" s="16"/>
      <c r="D135" s="16"/>
      <c r="E135" s="16"/>
      <c r="F135" s="16"/>
      <c r="G135" s="16"/>
      <c r="H135" s="16"/>
      <c r="I135" s="16"/>
      <c r="J135" s="16"/>
      <c r="K135" s="16"/>
      <c r="L135" s="16"/>
      <c r="M135" s="16"/>
      <c r="Z135" s="224"/>
      <c r="AA135" s="182"/>
      <c r="AB135" s="182"/>
      <c r="AC135" s="182"/>
      <c r="AD135" s="224"/>
      <c r="AE135" s="224"/>
      <c r="AF135" s="224"/>
      <c r="AG135" s="224"/>
      <c r="AH135" s="187"/>
      <c r="AI135" s="187"/>
      <c r="AJ135" s="187"/>
      <c r="AK135" s="187"/>
      <c r="AL135" s="187"/>
      <c r="AM135" s="187"/>
      <c r="AN135" s="187"/>
      <c r="AO135" s="187"/>
      <c r="AP135" s="187"/>
      <c r="AQ135" s="187"/>
      <c r="AR135" s="187"/>
      <c r="AS135" s="187"/>
      <c r="AT135" s="224"/>
      <c r="AU135" s="224"/>
      <c r="AV135" s="224"/>
      <c r="AW135" s="224"/>
      <c r="AX135" s="224"/>
      <c r="AY135" s="224"/>
      <c r="AZ135" s="23"/>
      <c r="BA135" s="23"/>
      <c r="BB135"/>
      <c r="BC135"/>
      <c r="BD135"/>
    </row>
    <row r="136" spans="1:56" s="8" customFormat="1" x14ac:dyDescent="0.35">
      <c r="A136" s="16"/>
      <c r="B136" s="16"/>
      <c r="C136" s="16"/>
      <c r="D136" s="16"/>
      <c r="E136" s="16"/>
      <c r="F136" s="16"/>
      <c r="G136" s="16"/>
      <c r="H136" s="16"/>
      <c r="I136" s="16"/>
      <c r="J136" s="16"/>
      <c r="K136" s="16"/>
      <c r="L136" s="16"/>
      <c r="M136" s="16"/>
      <c r="Z136" s="224"/>
      <c r="AA136" s="182"/>
      <c r="AB136" s="182"/>
      <c r="AC136" s="182"/>
      <c r="AD136" s="224"/>
      <c r="AE136" s="224"/>
      <c r="AF136" s="224"/>
      <c r="AG136" s="224"/>
      <c r="AH136" s="187"/>
      <c r="AI136" s="187"/>
      <c r="AJ136" s="187"/>
      <c r="AK136" s="187"/>
      <c r="AL136" s="187"/>
      <c r="AM136" s="187"/>
      <c r="AN136" s="187"/>
      <c r="AO136" s="187"/>
      <c r="AP136" s="187"/>
      <c r="AQ136" s="187"/>
      <c r="AR136" s="187"/>
      <c r="AS136" s="187"/>
      <c r="AT136" s="224"/>
      <c r="AU136" s="224"/>
      <c r="AV136" s="224"/>
      <c r="AW136" s="224"/>
      <c r="AX136" s="224"/>
      <c r="AY136" s="224"/>
      <c r="AZ136" s="23"/>
      <c r="BA136" s="23"/>
      <c r="BB136"/>
      <c r="BC136"/>
      <c r="BD136"/>
    </row>
    <row r="137" spans="1:56" s="8" customFormat="1" x14ac:dyDescent="0.35">
      <c r="A137" s="16"/>
      <c r="B137" s="16"/>
      <c r="C137" s="16"/>
      <c r="D137" s="16"/>
      <c r="E137" s="16"/>
      <c r="F137" s="16"/>
      <c r="G137" s="16"/>
      <c r="H137" s="16"/>
      <c r="I137" s="16"/>
      <c r="J137" s="16"/>
      <c r="K137" s="16"/>
      <c r="L137" s="16"/>
      <c r="M137" s="16"/>
      <c r="Z137" s="224"/>
      <c r="AA137" s="182"/>
      <c r="AB137" s="182"/>
      <c r="AC137" s="182"/>
      <c r="AD137" s="224"/>
      <c r="AE137" s="224"/>
      <c r="AF137" s="224"/>
      <c r="AG137" s="224"/>
      <c r="AH137" s="187"/>
      <c r="AI137" s="187"/>
      <c r="AJ137" s="187"/>
      <c r="AK137" s="187"/>
      <c r="AL137" s="187"/>
      <c r="AM137" s="187"/>
      <c r="AN137" s="187"/>
      <c r="AO137" s="187"/>
      <c r="AP137" s="187"/>
      <c r="AQ137" s="187"/>
      <c r="AR137" s="187"/>
      <c r="AS137" s="187"/>
      <c r="AT137" s="224"/>
      <c r="AU137" s="224"/>
      <c r="AV137" s="224"/>
      <c r="AW137" s="224"/>
      <c r="AX137" s="224"/>
      <c r="AY137" s="224"/>
      <c r="AZ137" s="23"/>
      <c r="BA137" s="23"/>
      <c r="BB137"/>
      <c r="BC137"/>
      <c r="BD137"/>
    </row>
    <row r="138" spans="1:56" s="8" customFormat="1" x14ac:dyDescent="0.35">
      <c r="A138" s="16"/>
      <c r="B138" s="16"/>
      <c r="C138" s="16"/>
      <c r="D138" s="16"/>
      <c r="E138" s="16"/>
      <c r="F138" s="16"/>
      <c r="G138" s="16"/>
      <c r="H138" s="16"/>
      <c r="I138" s="16"/>
      <c r="J138" s="16"/>
      <c r="K138" s="16"/>
      <c r="L138" s="16"/>
      <c r="M138" s="16"/>
      <c r="Z138" s="224"/>
      <c r="AA138" s="182"/>
      <c r="AB138" s="182"/>
      <c r="AC138" s="182"/>
      <c r="AD138" s="224"/>
      <c r="AE138" s="224"/>
      <c r="AF138" s="224"/>
      <c r="AG138" s="224"/>
      <c r="AH138" s="187"/>
      <c r="AI138" s="187"/>
      <c r="AJ138" s="187"/>
      <c r="AK138" s="187"/>
      <c r="AL138" s="187"/>
      <c r="AM138" s="187"/>
      <c r="AN138" s="187"/>
      <c r="AO138" s="187"/>
      <c r="AP138" s="187"/>
      <c r="AQ138" s="187"/>
      <c r="AR138" s="187"/>
      <c r="AS138" s="187"/>
      <c r="AT138" s="224"/>
      <c r="AU138" s="224"/>
      <c r="AV138" s="224"/>
      <c r="AW138" s="224"/>
      <c r="AX138" s="224"/>
      <c r="AY138" s="224"/>
      <c r="AZ138" s="23"/>
      <c r="BA138" s="23"/>
      <c r="BB138"/>
      <c r="BC138"/>
      <c r="BD138"/>
    </row>
    <row r="139" spans="1:56" s="8" customFormat="1" x14ac:dyDescent="0.35">
      <c r="A139" s="16"/>
      <c r="B139" s="16"/>
      <c r="C139" s="16"/>
      <c r="D139" s="16"/>
      <c r="E139" s="16"/>
      <c r="F139" s="16"/>
      <c r="G139" s="16"/>
      <c r="H139" s="16"/>
      <c r="I139" s="16"/>
      <c r="J139" s="16"/>
      <c r="K139" s="16"/>
      <c r="L139" s="16"/>
      <c r="M139" s="16"/>
      <c r="Z139" s="224"/>
      <c r="AA139" s="182"/>
      <c r="AB139" s="182"/>
      <c r="AC139" s="182"/>
      <c r="AD139" s="224"/>
      <c r="AE139" s="224"/>
      <c r="AF139" s="224"/>
      <c r="AG139" s="224"/>
      <c r="AH139" s="187"/>
      <c r="AI139" s="187"/>
      <c r="AJ139" s="187"/>
      <c r="AK139" s="187"/>
      <c r="AL139" s="187"/>
      <c r="AM139" s="187"/>
      <c r="AN139" s="187"/>
      <c r="AO139" s="187"/>
      <c r="AP139" s="187"/>
      <c r="AQ139" s="187"/>
      <c r="AR139" s="187"/>
      <c r="AS139" s="187"/>
      <c r="AT139" s="224"/>
      <c r="AU139" s="224"/>
      <c r="AV139" s="224"/>
      <c r="AW139" s="224"/>
      <c r="AX139" s="224"/>
      <c r="AY139" s="224"/>
      <c r="AZ139" s="23"/>
      <c r="BA139" s="23"/>
      <c r="BB139"/>
      <c r="BC139"/>
      <c r="BD139"/>
    </row>
    <row r="140" spans="1:56" s="8" customFormat="1" x14ac:dyDescent="0.35">
      <c r="A140" s="16"/>
      <c r="B140" s="16"/>
      <c r="C140" s="16"/>
      <c r="D140" s="16"/>
      <c r="E140" s="16"/>
      <c r="F140" s="16"/>
      <c r="G140" s="16"/>
      <c r="H140" s="16"/>
      <c r="I140" s="16"/>
      <c r="J140" s="16"/>
      <c r="K140" s="16"/>
      <c r="L140" s="16"/>
      <c r="M140" s="16"/>
      <c r="Z140" s="224"/>
      <c r="AA140" s="182"/>
      <c r="AB140" s="182"/>
      <c r="AC140" s="182"/>
      <c r="AD140" s="224"/>
      <c r="AE140" s="224"/>
      <c r="AF140" s="224"/>
      <c r="AG140" s="224"/>
      <c r="AH140" s="187"/>
      <c r="AI140" s="187"/>
      <c r="AJ140" s="187"/>
      <c r="AK140" s="187"/>
      <c r="AL140" s="187"/>
      <c r="AM140" s="187"/>
      <c r="AN140" s="187"/>
      <c r="AO140" s="187"/>
      <c r="AP140" s="187"/>
      <c r="AQ140" s="187"/>
      <c r="AR140" s="187"/>
      <c r="AS140" s="187"/>
      <c r="AT140" s="224"/>
      <c r="AU140" s="224"/>
      <c r="AV140" s="224"/>
      <c r="AW140" s="224"/>
      <c r="AX140" s="224"/>
      <c r="AY140" s="224"/>
      <c r="AZ140" s="23"/>
      <c r="BA140" s="23"/>
      <c r="BB140"/>
      <c r="BC140"/>
      <c r="BD140"/>
    </row>
    <row r="141" spans="1:56" s="8" customFormat="1" x14ac:dyDescent="0.35">
      <c r="A141" s="16"/>
      <c r="B141" s="16"/>
      <c r="C141" s="16"/>
      <c r="D141" s="16"/>
      <c r="E141" s="16"/>
      <c r="F141" s="16"/>
      <c r="G141" s="16"/>
      <c r="H141" s="16"/>
      <c r="I141" s="16"/>
      <c r="J141" s="16"/>
      <c r="K141" s="16"/>
      <c r="L141" s="16"/>
      <c r="M141" s="16"/>
      <c r="Z141" s="224"/>
      <c r="AA141" s="182"/>
      <c r="AB141" s="182"/>
      <c r="AC141" s="182"/>
      <c r="AD141" s="224"/>
      <c r="AE141" s="224"/>
      <c r="AF141" s="224"/>
      <c r="AG141" s="224"/>
      <c r="AH141" s="187"/>
      <c r="AI141" s="187"/>
      <c r="AJ141" s="187"/>
      <c r="AK141" s="187"/>
      <c r="AL141" s="187"/>
      <c r="AM141" s="187"/>
      <c r="AN141" s="187"/>
      <c r="AO141" s="187"/>
      <c r="AP141" s="187"/>
      <c r="AQ141" s="187"/>
      <c r="AR141" s="187"/>
      <c r="AS141" s="187"/>
      <c r="AT141" s="224"/>
      <c r="AU141" s="224"/>
      <c r="AV141" s="224"/>
      <c r="AW141" s="224"/>
      <c r="AX141" s="224"/>
      <c r="AY141" s="224"/>
      <c r="AZ141" s="23"/>
      <c r="BA141" s="23"/>
      <c r="BB141"/>
      <c r="BC141"/>
      <c r="BD141"/>
    </row>
    <row r="142" spans="1:56" s="8" customFormat="1" x14ac:dyDescent="0.35">
      <c r="A142" s="16"/>
      <c r="B142" s="16"/>
      <c r="C142" s="16"/>
      <c r="D142" s="16"/>
      <c r="E142" s="16"/>
      <c r="F142" s="16"/>
      <c r="G142" s="16"/>
      <c r="H142" s="16"/>
      <c r="I142" s="16"/>
      <c r="J142" s="16"/>
      <c r="K142" s="16"/>
      <c r="L142" s="16"/>
      <c r="M142" s="16"/>
      <c r="Z142" s="224"/>
      <c r="AA142" s="182"/>
      <c r="AB142" s="182"/>
      <c r="AC142" s="182"/>
      <c r="AD142" s="224"/>
      <c r="AE142" s="224"/>
      <c r="AF142" s="224"/>
      <c r="AG142" s="224"/>
      <c r="AH142" s="187"/>
      <c r="AI142" s="187"/>
      <c r="AJ142" s="187"/>
      <c r="AK142" s="187"/>
      <c r="AL142" s="187"/>
      <c r="AM142" s="187"/>
      <c r="AN142" s="187"/>
      <c r="AO142" s="187"/>
      <c r="AP142" s="187"/>
      <c r="AQ142" s="187"/>
      <c r="AR142" s="187"/>
      <c r="AS142" s="187"/>
      <c r="AT142" s="224"/>
      <c r="AU142" s="224"/>
      <c r="AV142" s="224"/>
      <c r="AW142" s="224"/>
      <c r="AX142" s="224"/>
      <c r="AY142" s="224"/>
      <c r="AZ142" s="23"/>
      <c r="BA142" s="23"/>
      <c r="BB142"/>
      <c r="BC142"/>
      <c r="BD142"/>
    </row>
    <row r="143" spans="1:56" s="8" customFormat="1" x14ac:dyDescent="0.35">
      <c r="A143" s="16"/>
      <c r="B143" s="16"/>
      <c r="C143" s="16"/>
      <c r="D143" s="16"/>
      <c r="E143" s="16"/>
      <c r="F143" s="16"/>
      <c r="G143" s="16"/>
      <c r="H143" s="16"/>
      <c r="I143" s="16"/>
      <c r="J143" s="16"/>
      <c r="K143" s="16"/>
      <c r="L143" s="16"/>
      <c r="M143" s="16"/>
      <c r="AF143" s="16"/>
      <c r="AG143" s="16"/>
      <c r="AH143" s="187"/>
      <c r="AI143" s="187"/>
      <c r="AJ143" s="187"/>
      <c r="AK143" s="187"/>
      <c r="AL143" s="187"/>
      <c r="AM143" s="187"/>
      <c r="AN143" s="187"/>
      <c r="AO143" s="187"/>
      <c r="AP143" s="187"/>
      <c r="AQ143" s="187"/>
      <c r="AR143" s="187"/>
      <c r="AS143" s="187"/>
      <c r="AT143" s="224"/>
      <c r="AU143" s="224"/>
      <c r="AV143" s="224"/>
      <c r="AW143" s="224"/>
      <c r="AX143" s="224"/>
      <c r="AY143" s="224"/>
      <c r="AZ143" s="23"/>
      <c r="BA143" s="23"/>
      <c r="BB143"/>
      <c r="BC143"/>
      <c r="BD143"/>
    </row>
    <row r="144" spans="1:56" s="8" customFormat="1" x14ac:dyDescent="0.35">
      <c r="A144" s="16"/>
      <c r="B144" s="16"/>
      <c r="C144" s="16"/>
      <c r="D144" s="16"/>
      <c r="E144" s="16"/>
      <c r="F144" s="16"/>
      <c r="G144" s="16"/>
      <c r="H144" s="16"/>
      <c r="I144" s="16"/>
      <c r="J144" s="16"/>
      <c r="K144" s="16"/>
      <c r="L144" s="16"/>
      <c r="M144" s="16"/>
      <c r="AF144" s="16"/>
      <c r="AG144" s="16"/>
      <c r="AH144" s="187"/>
      <c r="AI144" s="187"/>
      <c r="AJ144" s="187"/>
      <c r="AK144" s="187"/>
      <c r="AL144" s="187"/>
      <c r="AM144" s="187"/>
      <c r="AN144" s="187"/>
      <c r="AO144" s="187"/>
      <c r="AP144" s="187"/>
      <c r="AQ144" s="187"/>
      <c r="AR144" s="187"/>
      <c r="AS144" s="187"/>
      <c r="AT144" s="224"/>
      <c r="AU144" s="224"/>
      <c r="AV144" s="224"/>
      <c r="AW144" s="224"/>
      <c r="AX144" s="224"/>
      <c r="AY144" s="224"/>
      <c r="AZ144" s="23"/>
      <c r="BA144" s="23"/>
      <c r="BB144"/>
      <c r="BC144"/>
      <c r="BD144"/>
    </row>
    <row r="145" spans="1:56" s="8" customFormat="1" x14ac:dyDescent="0.35">
      <c r="A145" s="16"/>
      <c r="B145" s="16"/>
      <c r="C145" s="16"/>
      <c r="D145" s="16"/>
      <c r="E145" s="16"/>
      <c r="F145" s="16"/>
      <c r="G145" s="16"/>
      <c r="H145" s="16"/>
      <c r="I145" s="16"/>
      <c r="J145" s="16"/>
      <c r="K145" s="16"/>
      <c r="L145" s="16"/>
      <c r="M145" s="16"/>
      <c r="AF145" s="16"/>
      <c r="AG145" s="16"/>
      <c r="AH145" s="187"/>
      <c r="AI145" s="187"/>
      <c r="AJ145" s="187"/>
      <c r="AK145" s="187"/>
      <c r="AL145" s="187"/>
      <c r="AM145" s="187"/>
      <c r="AN145" s="187"/>
      <c r="AO145" s="187"/>
      <c r="AP145" s="187"/>
      <c r="AQ145" s="187"/>
      <c r="AR145" s="187"/>
      <c r="AS145" s="187"/>
      <c r="AT145" s="224"/>
      <c r="AU145" s="224"/>
      <c r="AV145" s="224"/>
      <c r="AW145" s="224"/>
      <c r="AX145" s="224"/>
      <c r="AY145" s="224"/>
      <c r="AZ145" s="23"/>
      <c r="BA145" s="23"/>
      <c r="BB145"/>
      <c r="BC145"/>
      <c r="BD145"/>
    </row>
    <row r="146" spans="1:56" s="8" customFormat="1" x14ac:dyDescent="0.35">
      <c r="A146" s="16"/>
      <c r="B146" s="16"/>
      <c r="C146" s="16"/>
      <c r="D146" s="16"/>
      <c r="E146" s="16"/>
      <c r="F146" s="16"/>
      <c r="G146" s="16"/>
      <c r="H146" s="16"/>
      <c r="I146" s="16"/>
      <c r="J146" s="16"/>
      <c r="K146" s="16"/>
      <c r="L146" s="16"/>
      <c r="M146" s="16"/>
      <c r="AF146" s="16"/>
      <c r="AG146" s="16"/>
      <c r="AH146" s="187"/>
      <c r="AI146" s="187"/>
      <c r="AJ146" s="187"/>
      <c r="AK146" s="187"/>
      <c r="AL146" s="187"/>
      <c r="AM146" s="187"/>
      <c r="AN146" s="187"/>
      <c r="AO146" s="187"/>
      <c r="AP146" s="187"/>
      <c r="AQ146" s="187"/>
      <c r="AR146" s="187"/>
      <c r="AS146" s="187"/>
      <c r="AT146" s="224"/>
      <c r="AU146" s="224"/>
      <c r="AV146" s="224"/>
      <c r="AW146" s="224"/>
      <c r="AX146" s="224"/>
      <c r="AY146" s="224"/>
      <c r="AZ146" s="23"/>
      <c r="BA146" s="23"/>
      <c r="BB146"/>
      <c r="BC146"/>
      <c r="BD146"/>
    </row>
    <row r="147" spans="1:56" s="8" customFormat="1" x14ac:dyDescent="0.35">
      <c r="A147" s="16"/>
      <c r="B147" s="16"/>
      <c r="C147" s="16"/>
      <c r="D147" s="16"/>
      <c r="E147" s="16"/>
      <c r="F147" s="16"/>
      <c r="G147" s="16"/>
      <c r="H147" s="16"/>
      <c r="I147" s="16"/>
      <c r="J147" s="16"/>
      <c r="K147" s="16"/>
      <c r="L147" s="16"/>
      <c r="M147" s="16"/>
      <c r="AF147" s="16"/>
      <c r="AG147" s="16"/>
      <c r="AH147" s="187"/>
      <c r="AI147" s="187"/>
      <c r="AJ147" s="187"/>
      <c r="AK147" s="187"/>
      <c r="AL147" s="187"/>
      <c r="AM147" s="187"/>
      <c r="AN147" s="187"/>
      <c r="AO147" s="187"/>
      <c r="AP147" s="187"/>
      <c r="AQ147" s="187"/>
      <c r="AR147" s="187"/>
      <c r="AS147" s="187"/>
      <c r="AT147" s="224"/>
      <c r="AU147" s="224"/>
      <c r="AV147" s="224"/>
      <c r="AW147" s="224"/>
      <c r="AX147" s="224"/>
      <c r="AY147" s="224"/>
      <c r="AZ147" s="23"/>
      <c r="BA147" s="23"/>
      <c r="BB147"/>
      <c r="BC147"/>
      <c r="BD147"/>
    </row>
    <row r="148" spans="1:56" s="8" customFormat="1" x14ac:dyDescent="0.35">
      <c r="A148" s="16"/>
      <c r="B148" s="16"/>
      <c r="C148" s="16"/>
      <c r="D148" s="16"/>
      <c r="E148" s="16"/>
      <c r="F148" s="16"/>
      <c r="G148" s="16"/>
      <c r="H148" s="16"/>
      <c r="I148" s="16"/>
      <c r="J148" s="16"/>
      <c r="K148" s="16"/>
      <c r="L148" s="16"/>
      <c r="M148" s="16"/>
      <c r="AF148" s="16"/>
      <c r="AG148" s="16"/>
      <c r="AH148" s="187"/>
      <c r="AI148" s="187"/>
      <c r="AJ148" s="187"/>
      <c r="AK148" s="187"/>
      <c r="AL148" s="187"/>
      <c r="AM148" s="187"/>
      <c r="AN148" s="187"/>
      <c r="AO148" s="187"/>
      <c r="AP148" s="187"/>
      <c r="AQ148" s="187"/>
      <c r="AR148" s="187"/>
      <c r="AS148" s="187"/>
      <c r="AT148" s="224"/>
      <c r="AU148" s="224"/>
      <c r="AV148" s="224"/>
      <c r="AW148" s="224"/>
      <c r="AX148" s="224"/>
      <c r="AY148" s="224"/>
      <c r="AZ148" s="23"/>
      <c r="BA148" s="23"/>
      <c r="BB148"/>
      <c r="BC148"/>
      <c r="BD148"/>
    </row>
    <row r="149" spans="1:56" s="8" customFormat="1" x14ac:dyDescent="0.35">
      <c r="A149" s="16"/>
      <c r="B149" s="16"/>
      <c r="C149" s="16"/>
      <c r="D149" s="16"/>
      <c r="E149" s="16"/>
      <c r="F149" s="16"/>
      <c r="G149" s="16"/>
      <c r="H149" s="16"/>
      <c r="I149" s="16"/>
      <c r="J149" s="16"/>
      <c r="K149" s="16"/>
      <c r="L149" s="16"/>
      <c r="M149" s="16"/>
      <c r="AF149" s="16"/>
      <c r="AG149" s="16"/>
      <c r="AH149" s="187"/>
      <c r="AI149" s="187"/>
      <c r="AJ149" s="187"/>
      <c r="AK149" s="187"/>
      <c r="AL149" s="187"/>
      <c r="AM149" s="187"/>
      <c r="AN149" s="187"/>
      <c r="AO149" s="187"/>
      <c r="AP149" s="187"/>
      <c r="AQ149" s="187"/>
      <c r="AR149" s="187"/>
      <c r="AS149" s="187"/>
      <c r="AT149" s="224"/>
      <c r="AU149" s="224"/>
      <c r="AV149" s="224"/>
      <c r="AW149" s="224"/>
      <c r="AX149" s="224"/>
      <c r="AY149" s="224"/>
      <c r="AZ149" s="23"/>
      <c r="BA149" s="23"/>
      <c r="BB149"/>
      <c r="BC149"/>
      <c r="BD149"/>
    </row>
    <row r="150" spans="1:56" s="8" customFormat="1" x14ac:dyDescent="0.35">
      <c r="A150" s="16"/>
      <c r="B150" s="16"/>
      <c r="C150" s="16"/>
      <c r="D150" s="16"/>
      <c r="E150" s="16"/>
      <c r="F150" s="16"/>
      <c r="G150" s="16"/>
      <c r="H150" s="16"/>
      <c r="I150" s="16"/>
      <c r="J150" s="16"/>
      <c r="K150" s="16"/>
      <c r="L150" s="16"/>
      <c r="M150" s="16"/>
      <c r="AF150" s="16"/>
      <c r="AG150" s="16"/>
      <c r="AH150" s="187"/>
      <c r="AI150" s="187"/>
      <c r="AJ150" s="187"/>
      <c r="AK150" s="187"/>
      <c r="AL150" s="187"/>
      <c r="AM150" s="187"/>
      <c r="AN150" s="187"/>
      <c r="AO150" s="187"/>
      <c r="AP150" s="187"/>
      <c r="AQ150" s="187"/>
      <c r="AR150" s="187"/>
      <c r="AS150" s="187"/>
      <c r="AT150" s="224"/>
      <c r="AU150" s="224"/>
      <c r="AV150" s="224"/>
      <c r="AW150" s="224"/>
      <c r="AX150" s="224"/>
      <c r="AY150" s="224"/>
      <c r="AZ150" s="23"/>
      <c r="BA150" s="23"/>
      <c r="BB150"/>
      <c r="BC150"/>
      <c r="BD150"/>
    </row>
    <row r="151" spans="1:56" s="8" customFormat="1" x14ac:dyDescent="0.35">
      <c r="A151" s="16"/>
      <c r="B151" s="16"/>
      <c r="C151" s="16"/>
      <c r="D151" s="16"/>
      <c r="E151" s="16"/>
      <c r="F151" s="16"/>
      <c r="G151" s="16"/>
      <c r="H151" s="16"/>
      <c r="I151" s="16"/>
      <c r="J151" s="16"/>
      <c r="K151" s="16"/>
      <c r="L151" s="16"/>
      <c r="M151" s="16"/>
      <c r="AF151" s="16"/>
      <c r="AG151" s="16"/>
      <c r="AH151" s="187"/>
      <c r="AI151" s="187"/>
      <c r="AJ151" s="187"/>
      <c r="AK151" s="187"/>
      <c r="AL151" s="187"/>
      <c r="AM151" s="187"/>
      <c r="AN151" s="187"/>
      <c r="AO151" s="187"/>
      <c r="AP151" s="187"/>
      <c r="AQ151" s="187"/>
      <c r="AR151" s="187"/>
      <c r="AS151" s="187"/>
      <c r="AT151" s="224"/>
      <c r="AU151" s="224"/>
      <c r="AV151" s="224"/>
      <c r="AW151" s="224"/>
      <c r="AX151" s="224"/>
      <c r="AY151" s="224"/>
      <c r="AZ151" s="23"/>
      <c r="BA151" s="23"/>
      <c r="BB151"/>
      <c r="BC151"/>
      <c r="BD151"/>
    </row>
    <row r="152" spans="1:56" s="8" customFormat="1" x14ac:dyDescent="0.35">
      <c r="A152" s="16"/>
      <c r="B152" s="16"/>
      <c r="C152" s="16"/>
      <c r="D152" s="16"/>
      <c r="E152" s="16"/>
      <c r="F152" s="16"/>
      <c r="G152" s="16"/>
      <c r="H152" s="16"/>
      <c r="I152" s="16"/>
      <c r="J152" s="16"/>
      <c r="K152" s="16"/>
      <c r="L152" s="16"/>
      <c r="M152" s="16"/>
      <c r="AF152" s="16"/>
      <c r="AG152" s="16"/>
      <c r="AH152" s="187"/>
      <c r="AI152" s="187"/>
      <c r="AJ152" s="187"/>
      <c r="AK152" s="187"/>
      <c r="AL152" s="187"/>
      <c r="AM152" s="187"/>
      <c r="AN152" s="187"/>
      <c r="AO152" s="187"/>
      <c r="AP152" s="187"/>
      <c r="AQ152" s="187"/>
      <c r="AR152" s="187"/>
      <c r="AS152" s="187"/>
      <c r="AT152" s="224"/>
      <c r="AU152" s="224"/>
      <c r="AV152" s="224"/>
      <c r="AW152" s="224"/>
      <c r="AX152" s="224"/>
      <c r="AY152" s="224"/>
      <c r="AZ152" s="23"/>
      <c r="BA152" s="23"/>
      <c r="BB152"/>
      <c r="BC152"/>
      <c r="BD152"/>
    </row>
    <row r="153" spans="1:56" s="8" customFormat="1" x14ac:dyDescent="0.35">
      <c r="A153" s="16"/>
      <c r="B153" s="16"/>
      <c r="C153" s="16"/>
      <c r="D153" s="16"/>
      <c r="E153" s="16"/>
      <c r="F153" s="16"/>
      <c r="G153" s="16"/>
      <c r="H153" s="16"/>
      <c r="I153" s="16"/>
      <c r="J153" s="16"/>
      <c r="K153" s="16"/>
      <c r="L153" s="16"/>
      <c r="M153" s="16"/>
      <c r="AF153" s="16"/>
      <c r="AG153" s="16"/>
      <c r="AH153" s="187"/>
      <c r="AI153" s="187"/>
      <c r="AJ153" s="187"/>
      <c r="AK153" s="187"/>
      <c r="AL153" s="187"/>
      <c r="AM153" s="187"/>
      <c r="AN153" s="187"/>
      <c r="AO153" s="187"/>
      <c r="AP153" s="187"/>
      <c r="AQ153" s="187"/>
      <c r="AR153" s="187"/>
      <c r="AS153" s="187"/>
      <c r="AT153" s="224"/>
      <c r="AU153" s="224"/>
      <c r="AV153" s="224"/>
      <c r="AW153" s="224"/>
      <c r="AX153" s="224"/>
      <c r="AY153" s="224"/>
      <c r="AZ153" s="23"/>
      <c r="BA153" s="23"/>
      <c r="BB153"/>
      <c r="BC153"/>
      <c r="BD153"/>
    </row>
    <row r="154" spans="1:56" s="8" customFormat="1" x14ac:dyDescent="0.35">
      <c r="A154" s="16"/>
      <c r="B154" s="16"/>
      <c r="C154" s="16"/>
      <c r="D154" s="16"/>
      <c r="E154" s="16"/>
      <c r="F154" s="16"/>
      <c r="G154" s="16"/>
      <c r="H154" s="16"/>
      <c r="I154" s="16"/>
      <c r="J154" s="16"/>
      <c r="K154" s="16"/>
      <c r="L154" s="16"/>
      <c r="M154" s="16"/>
      <c r="AF154" s="16"/>
      <c r="AG154" s="16"/>
      <c r="AH154" s="187"/>
      <c r="AI154" s="187"/>
      <c r="AJ154" s="187"/>
      <c r="AK154" s="187"/>
      <c r="AL154" s="187"/>
      <c r="AM154" s="187"/>
      <c r="AN154" s="187"/>
      <c r="AO154" s="187"/>
      <c r="AP154" s="187"/>
      <c r="AQ154" s="187"/>
      <c r="AR154" s="187"/>
      <c r="AS154" s="187"/>
      <c r="AT154" s="224"/>
      <c r="AU154" s="224"/>
      <c r="AV154" s="224"/>
      <c r="AW154" s="224"/>
      <c r="AX154" s="224"/>
      <c r="AY154" s="224"/>
      <c r="AZ154" s="23"/>
      <c r="BA154" s="23"/>
      <c r="BB154"/>
      <c r="BC154"/>
      <c r="BD154"/>
    </row>
    <row r="155" spans="1:56" s="8" customFormat="1" x14ac:dyDescent="0.35">
      <c r="A155" s="16"/>
      <c r="B155" s="16"/>
      <c r="C155" s="16"/>
      <c r="D155" s="16"/>
      <c r="E155" s="16"/>
      <c r="F155" s="16"/>
      <c r="G155" s="16"/>
      <c r="H155" s="16"/>
      <c r="I155" s="16"/>
      <c r="J155" s="16"/>
      <c r="K155" s="16"/>
      <c r="L155" s="16"/>
      <c r="M155" s="16"/>
      <c r="AF155" s="16"/>
      <c r="AG155" s="16"/>
      <c r="AH155" s="187"/>
      <c r="AI155" s="187"/>
      <c r="AJ155" s="187"/>
      <c r="AK155" s="187"/>
      <c r="AL155" s="187"/>
      <c r="AM155" s="187"/>
      <c r="AN155" s="187"/>
      <c r="AO155" s="187"/>
      <c r="AP155" s="187"/>
      <c r="AQ155" s="187"/>
      <c r="AR155" s="187"/>
      <c r="AS155" s="187"/>
      <c r="AT155" s="224"/>
      <c r="AU155" s="224"/>
      <c r="AV155" s="224"/>
      <c r="AW155" s="224"/>
      <c r="AX155" s="224"/>
      <c r="AY155" s="224"/>
      <c r="AZ155" s="23"/>
      <c r="BA155" s="23"/>
      <c r="BB155"/>
      <c r="BC155"/>
      <c r="BD155"/>
    </row>
    <row r="156" spans="1:56" s="8" customFormat="1" x14ac:dyDescent="0.35">
      <c r="A156" s="16"/>
      <c r="B156" s="16"/>
      <c r="C156" s="16"/>
      <c r="D156" s="16"/>
      <c r="E156" s="16"/>
      <c r="F156" s="16"/>
      <c r="G156" s="16"/>
      <c r="H156" s="16"/>
      <c r="I156" s="16"/>
      <c r="J156" s="16"/>
      <c r="K156" s="16"/>
      <c r="L156" s="16"/>
      <c r="M156" s="16"/>
      <c r="AF156" s="16"/>
      <c r="AG156" s="16"/>
      <c r="AH156" s="187"/>
      <c r="AI156" s="187"/>
      <c r="AJ156" s="187"/>
      <c r="AK156" s="187"/>
      <c r="AL156" s="187"/>
      <c r="AM156" s="187"/>
      <c r="AN156" s="187"/>
      <c r="AO156" s="187"/>
      <c r="AP156" s="187"/>
      <c r="AQ156" s="187"/>
      <c r="AR156" s="187"/>
      <c r="AS156" s="187"/>
      <c r="AT156" s="224"/>
      <c r="AU156" s="224"/>
      <c r="AV156" s="224"/>
      <c r="AW156" s="224"/>
      <c r="AX156" s="224"/>
      <c r="AY156" s="224"/>
      <c r="AZ156" s="23"/>
      <c r="BA156" s="23"/>
      <c r="BB156"/>
      <c r="BC156"/>
      <c r="BD156"/>
    </row>
    <row r="157" spans="1:56" s="8" customFormat="1" x14ac:dyDescent="0.35">
      <c r="A157" s="16"/>
      <c r="B157" s="16"/>
      <c r="C157" s="16"/>
      <c r="D157" s="16"/>
      <c r="E157" s="16"/>
      <c r="F157" s="16"/>
      <c r="G157" s="16"/>
      <c r="H157" s="16"/>
      <c r="I157" s="16"/>
      <c r="J157" s="16"/>
      <c r="K157" s="16"/>
      <c r="L157" s="16"/>
      <c r="M157" s="16"/>
      <c r="AF157" s="16"/>
      <c r="AG157" s="16"/>
      <c r="AH157" s="187"/>
      <c r="AI157" s="187"/>
      <c r="AJ157" s="187"/>
      <c r="AK157" s="187"/>
      <c r="AL157" s="187"/>
      <c r="AM157" s="187"/>
      <c r="AN157" s="187"/>
      <c r="AO157" s="187"/>
      <c r="AP157" s="187"/>
      <c r="AQ157" s="187"/>
      <c r="AR157" s="187"/>
      <c r="AS157" s="187"/>
      <c r="AT157" s="224"/>
      <c r="AU157" s="224"/>
      <c r="AV157" s="224"/>
      <c r="AW157" s="224"/>
      <c r="AX157" s="224"/>
      <c r="AY157" s="224"/>
      <c r="AZ157" s="23"/>
      <c r="BA157" s="23"/>
      <c r="BB157"/>
      <c r="BC157"/>
      <c r="BD157"/>
    </row>
    <row r="158" spans="1:56" s="8" customFormat="1" x14ac:dyDescent="0.35">
      <c r="A158" s="16"/>
      <c r="B158" s="16"/>
      <c r="C158" s="16"/>
      <c r="D158" s="16"/>
      <c r="E158" s="16"/>
      <c r="F158" s="16"/>
      <c r="G158" s="16"/>
      <c r="H158" s="16"/>
      <c r="I158" s="16"/>
      <c r="J158" s="16"/>
      <c r="K158" s="16"/>
      <c r="L158" s="16"/>
      <c r="M158" s="16"/>
      <c r="AF158" s="16"/>
      <c r="AG158" s="16"/>
      <c r="AH158" s="187"/>
      <c r="AI158" s="187"/>
      <c r="AJ158" s="187"/>
      <c r="AK158" s="187"/>
      <c r="AL158" s="187"/>
      <c r="AM158" s="187"/>
      <c r="AN158" s="187"/>
      <c r="AO158" s="187"/>
      <c r="AP158" s="187"/>
      <c r="AQ158" s="187"/>
      <c r="AR158" s="187"/>
      <c r="AS158" s="187"/>
      <c r="AT158" s="224"/>
      <c r="AU158" s="224"/>
      <c r="AV158" s="224"/>
      <c r="AW158" s="224"/>
      <c r="AX158" s="224"/>
      <c r="AY158" s="224"/>
      <c r="AZ158" s="23"/>
      <c r="BA158" s="23"/>
      <c r="BB158"/>
      <c r="BC158"/>
      <c r="BD158"/>
    </row>
    <row r="159" spans="1:56" s="8" customFormat="1" x14ac:dyDescent="0.35">
      <c r="A159" s="16"/>
      <c r="B159" s="16"/>
      <c r="C159" s="16"/>
      <c r="D159" s="16"/>
      <c r="E159" s="16"/>
      <c r="F159" s="16"/>
      <c r="G159" s="16"/>
      <c r="H159" s="16"/>
      <c r="I159" s="16"/>
      <c r="J159" s="16"/>
      <c r="K159" s="16"/>
      <c r="L159" s="16"/>
      <c r="M159" s="16"/>
      <c r="AF159" s="16"/>
      <c r="AG159" s="16"/>
      <c r="AH159" s="187"/>
      <c r="AI159" s="187"/>
      <c r="AJ159" s="187"/>
      <c r="AK159" s="187"/>
      <c r="AL159" s="187"/>
      <c r="AM159" s="187"/>
      <c r="AN159" s="187"/>
      <c r="AO159" s="187"/>
      <c r="AP159" s="187"/>
      <c r="AQ159" s="187"/>
      <c r="AR159" s="187"/>
      <c r="AS159" s="187"/>
      <c r="AT159" s="224"/>
      <c r="AU159" s="224"/>
      <c r="AV159" s="224"/>
      <c r="AW159" s="224"/>
      <c r="AX159" s="224"/>
      <c r="AY159" s="224"/>
      <c r="AZ159" s="23"/>
      <c r="BA159" s="23"/>
      <c r="BB159"/>
      <c r="BC159"/>
      <c r="BD159"/>
    </row>
    <row r="160" spans="1:56" s="8" customFormat="1" x14ac:dyDescent="0.35">
      <c r="A160" s="16"/>
      <c r="B160" s="16"/>
      <c r="C160" s="16"/>
      <c r="D160" s="16"/>
      <c r="E160" s="16"/>
      <c r="F160" s="16"/>
      <c r="G160" s="16"/>
      <c r="H160" s="16"/>
      <c r="I160" s="16"/>
      <c r="J160" s="16"/>
      <c r="K160" s="16"/>
      <c r="L160" s="16"/>
      <c r="M160" s="16"/>
      <c r="AF160" s="16"/>
      <c r="AG160" s="16"/>
      <c r="AH160" s="187"/>
      <c r="AI160" s="187"/>
      <c r="AJ160" s="187"/>
      <c r="AK160" s="187"/>
      <c r="AL160" s="187"/>
      <c r="AM160" s="187"/>
      <c r="AN160" s="187"/>
      <c r="AO160" s="187"/>
      <c r="AP160" s="187"/>
      <c r="AQ160" s="187"/>
      <c r="AR160" s="187"/>
      <c r="AS160" s="187"/>
      <c r="AT160" s="224"/>
      <c r="AU160" s="224"/>
      <c r="AV160" s="224"/>
      <c r="AW160" s="224"/>
      <c r="AX160" s="224"/>
      <c r="AY160" s="224"/>
      <c r="AZ160" s="23"/>
      <c r="BA160" s="23"/>
      <c r="BB160"/>
      <c r="BC160"/>
      <c r="BD160"/>
    </row>
    <row r="161" spans="1:56" s="8" customFormat="1" x14ac:dyDescent="0.35">
      <c r="A161" s="16"/>
      <c r="B161" s="16"/>
      <c r="C161" s="16"/>
      <c r="D161" s="16"/>
      <c r="E161" s="16"/>
      <c r="F161" s="16"/>
      <c r="G161" s="16"/>
      <c r="H161" s="16"/>
      <c r="I161" s="16"/>
      <c r="J161" s="16"/>
      <c r="K161" s="16"/>
      <c r="L161" s="16"/>
      <c r="M161" s="16"/>
      <c r="AF161" s="16"/>
      <c r="AG161" s="16"/>
      <c r="AH161" s="187"/>
      <c r="AI161" s="187"/>
      <c r="AJ161" s="187"/>
      <c r="AK161" s="187"/>
      <c r="AL161" s="187"/>
      <c r="AM161" s="187"/>
      <c r="AN161" s="187"/>
      <c r="AO161" s="187"/>
      <c r="AP161" s="187"/>
      <c r="AQ161" s="187"/>
      <c r="AR161" s="187"/>
      <c r="AS161" s="187"/>
      <c r="AT161" s="224"/>
      <c r="AU161" s="224"/>
      <c r="AV161" s="224"/>
      <c r="AW161" s="224"/>
      <c r="AX161" s="224"/>
      <c r="AY161" s="224"/>
      <c r="AZ161" s="23"/>
      <c r="BA161" s="23"/>
      <c r="BB161"/>
      <c r="BC161"/>
      <c r="BD161"/>
    </row>
    <row r="162" spans="1:56" s="8" customFormat="1" x14ac:dyDescent="0.35">
      <c r="A162" s="16"/>
      <c r="B162" s="16"/>
      <c r="C162" s="16"/>
      <c r="D162" s="16"/>
      <c r="E162" s="16"/>
      <c r="F162" s="16"/>
      <c r="G162" s="16"/>
      <c r="H162" s="16"/>
      <c r="I162" s="16"/>
      <c r="J162" s="16"/>
      <c r="K162" s="16"/>
      <c r="L162" s="16"/>
      <c r="M162" s="16"/>
      <c r="AF162" s="16"/>
      <c r="AG162" s="16"/>
      <c r="AH162" s="187"/>
      <c r="AI162" s="187"/>
      <c r="AJ162" s="187"/>
      <c r="AK162" s="187"/>
      <c r="AL162" s="187"/>
      <c r="AM162" s="187"/>
      <c r="AN162" s="187"/>
      <c r="AO162" s="187"/>
      <c r="AP162" s="187"/>
      <c r="AQ162" s="187"/>
      <c r="AR162" s="187"/>
      <c r="AS162" s="187"/>
      <c r="AT162" s="224"/>
      <c r="AU162" s="224"/>
      <c r="AV162" s="224"/>
      <c r="AW162" s="224"/>
      <c r="AX162" s="224"/>
      <c r="AY162" s="224"/>
      <c r="AZ162" s="23"/>
      <c r="BA162" s="23"/>
      <c r="BB162"/>
      <c r="BC162"/>
      <c r="BD162"/>
    </row>
    <row r="163" spans="1:56" s="8" customFormat="1" x14ac:dyDescent="0.35">
      <c r="A163" s="16"/>
      <c r="B163" s="16"/>
      <c r="C163" s="16"/>
      <c r="D163" s="16"/>
      <c r="E163" s="16"/>
      <c r="F163" s="16"/>
      <c r="G163" s="16"/>
      <c r="H163" s="16"/>
      <c r="I163" s="16"/>
      <c r="J163" s="16"/>
      <c r="K163" s="16"/>
      <c r="L163" s="16"/>
      <c r="M163" s="16"/>
      <c r="AF163" s="16"/>
      <c r="AG163" s="16"/>
      <c r="AH163" s="187"/>
      <c r="AI163" s="187"/>
      <c r="AJ163" s="187"/>
      <c r="AK163" s="187"/>
      <c r="AL163" s="187"/>
      <c r="AM163" s="187"/>
      <c r="AN163" s="187"/>
      <c r="AO163" s="187"/>
      <c r="AP163" s="187"/>
      <c r="AQ163" s="187"/>
      <c r="AR163" s="187"/>
      <c r="AS163" s="187"/>
      <c r="AT163" s="224"/>
      <c r="AU163" s="224"/>
      <c r="AV163" s="224"/>
      <c r="AW163" s="224"/>
      <c r="AX163" s="224"/>
      <c r="AY163" s="224"/>
      <c r="AZ163" s="23"/>
      <c r="BA163" s="23"/>
      <c r="BB163"/>
      <c r="BC163"/>
      <c r="BD163"/>
    </row>
    <row r="164" spans="1:56" s="8" customFormat="1" x14ac:dyDescent="0.35">
      <c r="A164" s="16"/>
      <c r="B164" s="16"/>
      <c r="C164" s="16"/>
      <c r="D164" s="16"/>
      <c r="E164" s="16"/>
      <c r="F164" s="16"/>
      <c r="G164" s="16"/>
      <c r="H164" s="16"/>
      <c r="I164" s="16"/>
      <c r="J164" s="16"/>
      <c r="K164" s="16"/>
      <c r="L164" s="16"/>
      <c r="M164" s="16"/>
      <c r="AF164" s="16"/>
      <c r="AG164" s="16"/>
      <c r="AH164" s="187"/>
      <c r="AI164" s="187"/>
      <c r="AJ164" s="187"/>
      <c r="AK164" s="187"/>
      <c r="AL164" s="187"/>
      <c r="AM164" s="187"/>
      <c r="AN164" s="187"/>
      <c r="AO164" s="187"/>
      <c r="AP164" s="187"/>
      <c r="AQ164" s="187"/>
      <c r="AR164" s="187"/>
      <c r="AS164" s="187"/>
      <c r="AT164" s="224"/>
      <c r="AU164" s="224"/>
      <c r="AV164" s="224"/>
      <c r="AW164" s="224"/>
      <c r="AX164" s="224"/>
      <c r="AY164" s="224"/>
      <c r="AZ164" s="23"/>
      <c r="BA164" s="23"/>
      <c r="BB164"/>
      <c r="BC164"/>
      <c r="BD164"/>
    </row>
    <row r="165" spans="1:56" s="8" customFormat="1" x14ac:dyDescent="0.35">
      <c r="A165" s="16"/>
      <c r="B165" s="16"/>
      <c r="C165" s="16"/>
      <c r="D165" s="16"/>
      <c r="E165" s="16"/>
      <c r="F165" s="16"/>
      <c r="G165" s="16"/>
      <c r="H165" s="16"/>
      <c r="I165" s="16"/>
      <c r="J165" s="16"/>
      <c r="K165" s="16"/>
      <c r="L165" s="16"/>
      <c r="M165" s="16"/>
      <c r="AF165" s="16"/>
      <c r="AG165" s="16"/>
      <c r="AH165" s="187"/>
      <c r="AI165" s="187"/>
      <c r="AJ165" s="187"/>
      <c r="AK165" s="187"/>
      <c r="AL165" s="187"/>
      <c r="AM165" s="187"/>
      <c r="AN165" s="187"/>
      <c r="AO165" s="187"/>
      <c r="AP165" s="187"/>
      <c r="AQ165" s="187"/>
      <c r="AR165" s="187"/>
      <c r="AS165" s="187"/>
      <c r="AT165" s="224"/>
      <c r="AU165" s="224"/>
      <c r="AV165" s="224"/>
      <c r="AW165" s="224"/>
      <c r="AX165" s="224"/>
      <c r="AY165" s="224"/>
      <c r="AZ165" s="23"/>
      <c r="BA165" s="23"/>
      <c r="BB165"/>
      <c r="BC165"/>
      <c r="BD165"/>
    </row>
    <row r="166" spans="1:56" s="8" customFormat="1" x14ac:dyDescent="0.35">
      <c r="A166" s="16"/>
      <c r="B166" s="16"/>
      <c r="C166" s="16"/>
      <c r="D166" s="16"/>
      <c r="E166" s="16"/>
      <c r="F166" s="16"/>
      <c r="G166" s="16"/>
      <c r="H166" s="16"/>
      <c r="I166" s="16"/>
      <c r="J166" s="16"/>
      <c r="K166" s="16"/>
      <c r="L166" s="16"/>
      <c r="M166" s="16"/>
      <c r="AF166" s="16"/>
      <c r="AG166" s="16"/>
      <c r="AH166" s="187"/>
      <c r="AI166" s="187"/>
      <c r="AJ166" s="187"/>
      <c r="AK166" s="187"/>
      <c r="AL166" s="187"/>
      <c r="AM166" s="187"/>
      <c r="AN166" s="187"/>
      <c r="AO166" s="187"/>
      <c r="AP166" s="187"/>
      <c r="AQ166" s="187"/>
      <c r="AR166" s="187"/>
      <c r="AS166" s="187"/>
      <c r="AT166" s="224"/>
      <c r="AU166" s="224"/>
      <c r="AV166" s="224"/>
      <c r="AW166" s="224"/>
      <c r="AX166" s="224"/>
      <c r="AY166" s="224"/>
      <c r="AZ166" s="23"/>
      <c r="BA166" s="23"/>
      <c r="BB166"/>
      <c r="BC166"/>
      <c r="BD166"/>
    </row>
    <row r="167" spans="1:56" s="8" customFormat="1" x14ac:dyDescent="0.35">
      <c r="A167" s="16"/>
      <c r="B167" s="16"/>
      <c r="C167" s="16"/>
      <c r="D167" s="16"/>
      <c r="E167" s="16"/>
      <c r="F167" s="16"/>
      <c r="G167" s="16"/>
      <c r="H167" s="16"/>
      <c r="I167" s="16"/>
      <c r="J167" s="16"/>
      <c r="K167" s="16"/>
      <c r="L167" s="16"/>
      <c r="M167" s="16"/>
      <c r="AF167" s="16"/>
      <c r="AG167" s="16"/>
      <c r="AH167" s="187"/>
      <c r="AI167" s="187"/>
      <c r="AJ167" s="187"/>
      <c r="AK167" s="187"/>
      <c r="AL167" s="187"/>
      <c r="AM167" s="187"/>
      <c r="AN167" s="187"/>
      <c r="AO167" s="187"/>
      <c r="AP167" s="187"/>
      <c r="AQ167" s="187"/>
      <c r="AR167" s="187"/>
      <c r="AS167" s="187"/>
      <c r="AT167" s="224"/>
      <c r="AU167" s="224"/>
      <c r="AV167" s="224"/>
      <c r="AW167" s="224"/>
      <c r="AX167" s="224"/>
      <c r="AY167" s="224"/>
      <c r="AZ167" s="23"/>
      <c r="BA167" s="23"/>
      <c r="BB167"/>
      <c r="BC167"/>
      <c r="BD167"/>
    </row>
    <row r="168" spans="1:56" s="8" customFormat="1" x14ac:dyDescent="0.35">
      <c r="A168" s="16"/>
      <c r="B168" s="16"/>
      <c r="C168" s="16"/>
      <c r="D168" s="16"/>
      <c r="E168" s="16"/>
      <c r="F168" s="16"/>
      <c r="G168" s="16"/>
      <c r="H168" s="16"/>
      <c r="I168" s="16"/>
      <c r="J168" s="16"/>
      <c r="K168" s="16"/>
      <c r="L168" s="16"/>
      <c r="M168" s="16"/>
      <c r="AF168" s="16"/>
      <c r="AG168" s="16"/>
      <c r="AH168" s="187"/>
      <c r="AI168" s="187"/>
      <c r="AJ168" s="187"/>
      <c r="AK168" s="187"/>
      <c r="AL168" s="187"/>
      <c r="AM168" s="187"/>
      <c r="AN168" s="187"/>
      <c r="AO168" s="187"/>
      <c r="AP168" s="187"/>
      <c r="AQ168" s="187"/>
      <c r="AR168" s="187"/>
      <c r="AS168" s="187"/>
      <c r="AT168" s="224"/>
      <c r="AU168" s="224"/>
      <c r="AV168" s="224"/>
      <c r="AW168" s="224"/>
      <c r="AX168" s="224"/>
      <c r="AY168" s="224"/>
      <c r="AZ168" s="23"/>
      <c r="BA168" s="23"/>
      <c r="BB168"/>
      <c r="BC168"/>
      <c r="BD168"/>
    </row>
    <row r="169" spans="1:56" s="8" customFormat="1" x14ac:dyDescent="0.35">
      <c r="A169" s="16"/>
      <c r="B169" s="16"/>
      <c r="C169" s="16"/>
      <c r="D169" s="16"/>
      <c r="E169" s="16"/>
      <c r="F169" s="16"/>
      <c r="G169" s="16"/>
      <c r="H169" s="16"/>
      <c r="I169" s="16"/>
      <c r="J169" s="16"/>
      <c r="K169" s="16"/>
      <c r="L169" s="16"/>
      <c r="M169" s="16"/>
      <c r="AF169" s="16"/>
      <c r="AG169" s="16"/>
      <c r="AH169" s="187"/>
      <c r="AI169" s="187"/>
      <c r="AJ169" s="187"/>
      <c r="AK169" s="187"/>
      <c r="AL169" s="187"/>
      <c r="AM169" s="187"/>
      <c r="AN169" s="187"/>
      <c r="AO169" s="187"/>
      <c r="AP169" s="187"/>
      <c r="AQ169" s="187"/>
      <c r="AR169" s="187"/>
      <c r="AS169" s="187"/>
      <c r="AT169" s="224"/>
      <c r="AU169" s="224"/>
      <c r="AV169" s="224"/>
      <c r="AW169" s="224"/>
      <c r="AX169" s="224"/>
      <c r="AY169" s="224"/>
      <c r="AZ169" s="23"/>
      <c r="BA169" s="23"/>
      <c r="BB169"/>
      <c r="BC169"/>
      <c r="BD169"/>
    </row>
    <row r="170" spans="1:56" s="8" customFormat="1" x14ac:dyDescent="0.35">
      <c r="A170" s="16"/>
      <c r="B170" s="16"/>
      <c r="C170" s="16"/>
      <c r="D170" s="16"/>
      <c r="E170" s="16"/>
      <c r="F170" s="16"/>
      <c r="G170" s="16"/>
      <c r="H170" s="16"/>
      <c r="I170" s="16"/>
      <c r="J170" s="16"/>
      <c r="K170" s="16"/>
      <c r="L170" s="16"/>
      <c r="M170" s="16"/>
      <c r="AF170" s="16"/>
      <c r="AG170" s="16"/>
      <c r="AH170" s="187"/>
      <c r="AI170" s="187"/>
      <c r="AJ170" s="187"/>
      <c r="AK170" s="187"/>
      <c r="AL170" s="187"/>
      <c r="AM170" s="187"/>
      <c r="AN170" s="187"/>
      <c r="AO170" s="187"/>
      <c r="AP170" s="187"/>
      <c r="AQ170" s="187"/>
      <c r="AR170" s="187"/>
      <c r="AS170" s="187"/>
      <c r="AT170" s="224"/>
      <c r="AU170" s="224"/>
      <c r="AV170" s="224"/>
      <c r="AW170" s="224"/>
      <c r="AX170" s="224"/>
      <c r="AY170" s="224"/>
      <c r="AZ170" s="23"/>
      <c r="BA170" s="23"/>
      <c r="BB170"/>
      <c r="BC170"/>
      <c r="BD170"/>
    </row>
    <row r="171" spans="1:56" s="8" customFormat="1" x14ac:dyDescent="0.35">
      <c r="A171" s="16"/>
      <c r="B171" s="16"/>
      <c r="C171" s="16"/>
      <c r="D171" s="16"/>
      <c r="E171" s="16"/>
      <c r="F171" s="16"/>
      <c r="G171" s="16"/>
      <c r="H171" s="16"/>
      <c r="I171" s="16"/>
      <c r="J171" s="16"/>
      <c r="K171" s="16"/>
      <c r="L171" s="16"/>
      <c r="M171" s="16"/>
      <c r="AF171" s="16"/>
      <c r="AG171" s="16"/>
      <c r="AH171" s="187"/>
      <c r="AI171" s="187"/>
      <c r="AJ171" s="187"/>
      <c r="AK171" s="187"/>
      <c r="AL171" s="187"/>
      <c r="AM171" s="187"/>
      <c r="AN171" s="187"/>
      <c r="AO171" s="187"/>
      <c r="AP171" s="187"/>
      <c r="AQ171" s="187"/>
      <c r="AR171" s="187"/>
      <c r="AS171" s="187"/>
      <c r="AT171" s="224"/>
      <c r="AU171" s="224"/>
      <c r="AV171" s="224"/>
      <c r="AW171" s="224"/>
      <c r="AX171" s="224"/>
      <c r="AY171" s="224"/>
      <c r="AZ171" s="23"/>
      <c r="BA171" s="23"/>
      <c r="BB171"/>
      <c r="BC171"/>
      <c r="BD171"/>
    </row>
    <row r="172" spans="1:56" s="8" customFormat="1" x14ac:dyDescent="0.35">
      <c r="A172" s="16"/>
      <c r="B172" s="16"/>
      <c r="C172" s="16"/>
      <c r="D172" s="16"/>
      <c r="E172" s="16"/>
      <c r="F172" s="16"/>
      <c r="G172" s="16"/>
      <c r="H172" s="16"/>
      <c r="I172" s="16"/>
      <c r="J172" s="16"/>
      <c r="K172" s="16"/>
      <c r="L172" s="16"/>
      <c r="M172" s="16"/>
      <c r="AF172" s="16"/>
      <c r="AG172" s="16"/>
      <c r="AH172" s="187"/>
      <c r="AI172" s="187"/>
      <c r="AJ172" s="187"/>
      <c r="AK172" s="187"/>
      <c r="AL172" s="187"/>
      <c r="AM172" s="187"/>
      <c r="AN172" s="187"/>
      <c r="AO172" s="187"/>
      <c r="AP172" s="187"/>
      <c r="AQ172" s="187"/>
      <c r="AR172" s="187"/>
      <c r="AS172" s="187"/>
      <c r="AT172" s="224"/>
      <c r="AU172" s="224"/>
      <c r="AV172" s="224"/>
      <c r="AW172" s="224"/>
      <c r="AX172" s="224"/>
      <c r="AY172" s="224"/>
      <c r="AZ172" s="23"/>
      <c r="BA172" s="23"/>
      <c r="BB172"/>
      <c r="BC172"/>
      <c r="BD172"/>
    </row>
    <row r="173" spans="1:56" s="8" customFormat="1" x14ac:dyDescent="0.35">
      <c r="A173" s="16"/>
      <c r="B173" s="16"/>
      <c r="C173" s="16"/>
      <c r="D173" s="16"/>
      <c r="E173" s="16"/>
      <c r="F173" s="16"/>
      <c r="G173" s="16"/>
      <c r="H173" s="16"/>
      <c r="I173" s="16"/>
      <c r="J173" s="16"/>
      <c r="K173" s="16"/>
      <c r="L173" s="16"/>
      <c r="M173" s="16"/>
      <c r="AF173" s="16"/>
      <c r="AG173" s="16"/>
      <c r="AH173" s="187"/>
      <c r="AI173" s="187"/>
      <c r="AJ173" s="187"/>
      <c r="AK173" s="187"/>
      <c r="AL173" s="187"/>
      <c r="AM173" s="187"/>
      <c r="AN173" s="187"/>
      <c r="AO173" s="187"/>
      <c r="AP173" s="187"/>
      <c r="AQ173" s="187"/>
      <c r="AR173" s="187"/>
      <c r="AS173" s="187"/>
      <c r="AT173" s="224"/>
      <c r="AU173" s="224"/>
      <c r="AV173" s="224"/>
      <c r="AW173" s="224"/>
      <c r="AX173" s="224"/>
      <c r="AY173" s="224"/>
      <c r="AZ173" s="23"/>
      <c r="BA173" s="23"/>
      <c r="BB173"/>
      <c r="BC173"/>
      <c r="BD173"/>
    </row>
    <row r="174" spans="1:56" s="8" customFormat="1" x14ac:dyDescent="0.35">
      <c r="A174" s="16"/>
      <c r="B174" s="16"/>
      <c r="C174" s="16"/>
      <c r="D174" s="16"/>
      <c r="E174" s="16"/>
      <c r="F174" s="16"/>
      <c r="G174" s="16"/>
      <c r="H174" s="16"/>
      <c r="I174" s="16"/>
      <c r="J174" s="16"/>
      <c r="K174" s="16"/>
      <c r="L174" s="16"/>
      <c r="M174" s="16"/>
      <c r="AF174" s="16"/>
      <c r="AG174" s="16"/>
      <c r="AH174" s="187"/>
      <c r="AI174" s="187"/>
      <c r="AJ174" s="187"/>
      <c r="AK174" s="187"/>
      <c r="AL174" s="187"/>
      <c r="AM174" s="187"/>
      <c r="AN174" s="187"/>
      <c r="AO174" s="187"/>
      <c r="AP174" s="187"/>
      <c r="AQ174" s="187"/>
      <c r="AR174" s="187"/>
      <c r="AS174" s="187"/>
      <c r="AT174" s="224"/>
      <c r="AU174" s="224"/>
      <c r="AV174" s="224"/>
      <c r="AW174" s="224"/>
      <c r="AX174" s="224"/>
      <c r="AY174" s="224"/>
      <c r="AZ174" s="23"/>
      <c r="BA174" s="23"/>
      <c r="BB174"/>
      <c r="BC174"/>
      <c r="BD174"/>
    </row>
    <row r="175" spans="1:56" s="8" customFormat="1" x14ac:dyDescent="0.35">
      <c r="A175" s="16"/>
      <c r="B175" s="16"/>
      <c r="C175" s="16"/>
      <c r="D175" s="16"/>
      <c r="E175" s="16"/>
      <c r="F175" s="16"/>
      <c r="G175" s="16"/>
      <c r="H175" s="16"/>
      <c r="I175" s="16"/>
      <c r="J175" s="16"/>
      <c r="K175" s="16"/>
      <c r="L175" s="16"/>
      <c r="M175" s="16"/>
      <c r="AF175" s="16"/>
      <c r="AG175" s="16"/>
      <c r="AH175" s="187"/>
      <c r="AI175" s="187"/>
      <c r="AJ175" s="187"/>
      <c r="AK175" s="187"/>
      <c r="AL175" s="187"/>
      <c r="AM175" s="187"/>
      <c r="AN175" s="187"/>
      <c r="AO175" s="187"/>
      <c r="AP175" s="187"/>
      <c r="AQ175" s="187"/>
      <c r="AR175" s="187"/>
      <c r="AS175" s="187"/>
      <c r="AT175" s="224"/>
      <c r="AU175" s="224"/>
      <c r="AV175" s="224"/>
      <c r="AW175" s="224"/>
      <c r="AX175" s="224"/>
      <c r="AY175" s="224"/>
      <c r="AZ175" s="23"/>
      <c r="BA175" s="23"/>
      <c r="BB175"/>
      <c r="BC175"/>
      <c r="BD175"/>
    </row>
    <row r="176" spans="1:56" s="8" customFormat="1" x14ac:dyDescent="0.35">
      <c r="A176" s="16"/>
      <c r="B176" s="16"/>
      <c r="C176" s="16"/>
      <c r="D176" s="16"/>
      <c r="E176" s="16"/>
      <c r="F176" s="16"/>
      <c r="G176" s="16"/>
      <c r="H176" s="16"/>
      <c r="I176" s="16"/>
      <c r="J176" s="16"/>
      <c r="K176" s="16"/>
      <c r="L176" s="16"/>
      <c r="M176" s="16"/>
      <c r="AF176" s="16"/>
      <c r="AG176" s="16"/>
      <c r="AH176" s="187"/>
      <c r="AI176" s="187"/>
      <c r="AJ176" s="187"/>
      <c r="AK176" s="187"/>
      <c r="AL176" s="187"/>
      <c r="AM176" s="187"/>
      <c r="AN176" s="187"/>
      <c r="AO176" s="187"/>
      <c r="AP176" s="187"/>
      <c r="AQ176" s="187"/>
      <c r="AR176" s="187"/>
      <c r="AS176" s="187"/>
      <c r="AT176" s="224"/>
      <c r="AU176" s="224"/>
      <c r="AV176" s="224"/>
      <c r="AW176" s="224"/>
      <c r="AX176" s="224"/>
      <c r="AY176" s="224"/>
      <c r="AZ176" s="23"/>
      <c r="BA176" s="23"/>
      <c r="BB176"/>
      <c r="BC176"/>
      <c r="BD176"/>
    </row>
    <row r="177" spans="1:56" s="8" customFormat="1" x14ac:dyDescent="0.35">
      <c r="A177" s="16"/>
      <c r="B177" s="16"/>
      <c r="C177" s="16"/>
      <c r="D177" s="16"/>
      <c r="E177" s="16"/>
      <c r="F177" s="16"/>
      <c r="G177" s="16"/>
      <c r="H177" s="16"/>
      <c r="I177" s="16"/>
      <c r="J177" s="16"/>
      <c r="K177" s="16"/>
      <c r="L177" s="16"/>
      <c r="M177" s="16"/>
      <c r="AF177" s="16"/>
      <c r="AG177" s="16"/>
      <c r="AH177" s="187"/>
      <c r="AI177" s="187"/>
      <c r="AJ177" s="187"/>
      <c r="AK177" s="187"/>
      <c r="AL177" s="187"/>
      <c r="AM177" s="187"/>
      <c r="AN177" s="187"/>
      <c r="AO177" s="187"/>
      <c r="AP177" s="187"/>
      <c r="AQ177" s="187"/>
      <c r="AR177" s="187"/>
      <c r="AS177" s="187"/>
      <c r="AT177" s="224"/>
      <c r="AU177" s="224"/>
      <c r="AV177" s="224"/>
      <c r="AW177" s="224"/>
      <c r="AX177" s="224"/>
      <c r="AY177" s="224"/>
      <c r="AZ177" s="23"/>
      <c r="BA177" s="23"/>
      <c r="BB177"/>
      <c r="BC177"/>
      <c r="BD177"/>
    </row>
    <row r="178" spans="1:56" s="8" customFormat="1" x14ac:dyDescent="0.35">
      <c r="A178" s="16"/>
      <c r="B178" s="16"/>
      <c r="C178" s="16"/>
      <c r="D178" s="16"/>
      <c r="E178" s="16"/>
      <c r="F178" s="16"/>
      <c r="G178" s="16"/>
      <c r="H178" s="16"/>
      <c r="I178" s="16"/>
      <c r="J178" s="16"/>
      <c r="K178" s="16"/>
      <c r="L178" s="16"/>
      <c r="M178" s="16"/>
      <c r="AF178" s="16"/>
      <c r="AG178" s="16"/>
      <c r="AH178" s="187"/>
      <c r="AI178" s="187"/>
      <c r="AJ178" s="187"/>
      <c r="AK178" s="187"/>
      <c r="AL178" s="187"/>
      <c r="AM178" s="187"/>
      <c r="AN178" s="187"/>
      <c r="AO178" s="187"/>
      <c r="AP178" s="187"/>
      <c r="AQ178" s="187"/>
      <c r="AR178" s="187"/>
      <c r="AS178" s="187"/>
      <c r="AT178" s="224"/>
      <c r="AU178" s="224"/>
      <c r="AV178" s="224"/>
      <c r="AW178" s="224"/>
      <c r="AX178" s="224"/>
      <c r="AY178" s="224"/>
      <c r="AZ178" s="23"/>
      <c r="BA178" s="23"/>
      <c r="BB178"/>
      <c r="BC178"/>
      <c r="BD178"/>
    </row>
    <row r="179" spans="1:56" s="8" customFormat="1" x14ac:dyDescent="0.35">
      <c r="A179" s="16"/>
      <c r="B179" s="16"/>
      <c r="C179" s="16"/>
      <c r="D179" s="16"/>
      <c r="E179" s="16"/>
      <c r="F179" s="16"/>
      <c r="G179" s="16"/>
      <c r="H179" s="16"/>
      <c r="I179" s="16"/>
      <c r="J179" s="16"/>
      <c r="K179" s="16"/>
      <c r="L179" s="16"/>
      <c r="M179" s="16"/>
      <c r="AF179" s="16"/>
      <c r="AG179" s="16"/>
      <c r="AH179" s="187"/>
      <c r="AI179" s="187"/>
      <c r="AJ179" s="187"/>
      <c r="AK179" s="187"/>
      <c r="AL179" s="187"/>
      <c r="AM179" s="187"/>
      <c r="AN179" s="187"/>
      <c r="AO179" s="187"/>
      <c r="AP179" s="187"/>
      <c r="AQ179" s="187"/>
      <c r="AR179" s="187"/>
      <c r="AS179" s="187"/>
      <c r="AT179" s="224"/>
      <c r="AU179" s="224"/>
      <c r="AV179" s="224"/>
      <c r="AW179" s="224"/>
      <c r="AX179" s="224"/>
      <c r="AY179" s="224"/>
      <c r="AZ179" s="23"/>
      <c r="BA179" s="23"/>
      <c r="BB179"/>
      <c r="BC179"/>
      <c r="BD179"/>
    </row>
    <row r="180" spans="1:56" s="8" customFormat="1" x14ac:dyDescent="0.35">
      <c r="A180" s="16"/>
      <c r="B180" s="16"/>
      <c r="C180" s="16"/>
      <c r="D180" s="16"/>
      <c r="E180" s="16"/>
      <c r="F180" s="16"/>
      <c r="G180" s="16"/>
      <c r="H180" s="16"/>
      <c r="I180" s="16"/>
      <c r="J180" s="16"/>
      <c r="K180" s="16"/>
      <c r="L180" s="16"/>
      <c r="M180" s="16"/>
      <c r="AF180" s="16"/>
      <c r="AG180" s="16"/>
      <c r="AH180" s="187"/>
      <c r="AI180" s="187"/>
      <c r="AJ180" s="187"/>
      <c r="AK180" s="187"/>
      <c r="AL180" s="187"/>
      <c r="AM180" s="187"/>
      <c r="AN180" s="187"/>
      <c r="AO180" s="187"/>
      <c r="AP180" s="187"/>
      <c r="AQ180" s="187"/>
      <c r="AR180" s="187"/>
      <c r="AS180" s="187"/>
      <c r="AT180" s="224"/>
      <c r="AU180" s="224"/>
      <c r="AV180" s="224"/>
      <c r="AW180" s="224"/>
      <c r="AX180" s="224"/>
      <c r="AY180" s="224"/>
      <c r="AZ180" s="23"/>
      <c r="BA180" s="23"/>
      <c r="BB180"/>
      <c r="BC180"/>
      <c r="BD180"/>
    </row>
    <row r="181" spans="1:56" s="8" customFormat="1" x14ac:dyDescent="0.35">
      <c r="A181" s="16"/>
      <c r="B181" s="16"/>
      <c r="C181" s="16"/>
      <c r="D181" s="16"/>
      <c r="E181" s="16"/>
      <c r="F181" s="16"/>
      <c r="G181" s="16"/>
      <c r="H181" s="16"/>
      <c r="I181" s="16"/>
      <c r="J181" s="16"/>
      <c r="K181" s="16"/>
      <c r="L181" s="16"/>
      <c r="M181" s="16"/>
      <c r="AF181" s="16"/>
      <c r="AG181" s="16"/>
      <c r="AH181" s="187"/>
      <c r="AI181" s="187"/>
      <c r="AJ181" s="187"/>
      <c r="AK181" s="187"/>
      <c r="AL181" s="187"/>
      <c r="AM181" s="187"/>
      <c r="AN181" s="187"/>
      <c r="AO181" s="187"/>
      <c r="AP181" s="187"/>
      <c r="AQ181" s="187"/>
      <c r="AR181" s="187"/>
      <c r="AS181" s="187"/>
      <c r="AT181" s="224"/>
      <c r="AU181" s="224"/>
      <c r="AV181" s="224"/>
      <c r="AW181" s="224"/>
      <c r="AX181" s="224"/>
      <c r="AY181" s="224"/>
      <c r="AZ181" s="23"/>
      <c r="BA181" s="23"/>
      <c r="BB181"/>
      <c r="BC181"/>
      <c r="BD181"/>
    </row>
    <row r="182" spans="1:56" s="8" customFormat="1" x14ac:dyDescent="0.35">
      <c r="A182" s="16"/>
      <c r="B182" s="16"/>
      <c r="C182" s="16"/>
      <c r="D182" s="16"/>
      <c r="E182" s="16"/>
      <c r="F182" s="16"/>
      <c r="G182" s="16"/>
      <c r="H182" s="16"/>
      <c r="I182" s="16"/>
      <c r="J182" s="16"/>
      <c r="K182" s="16"/>
      <c r="L182" s="16"/>
      <c r="M182" s="16"/>
      <c r="AF182" s="16"/>
      <c r="AG182" s="16"/>
      <c r="AH182" s="187"/>
      <c r="AI182" s="187"/>
      <c r="AJ182" s="187"/>
      <c r="AK182" s="187"/>
      <c r="AL182" s="187"/>
      <c r="AM182" s="187"/>
      <c r="AN182" s="187"/>
      <c r="AO182" s="187"/>
      <c r="AP182" s="187"/>
      <c r="AQ182" s="187"/>
      <c r="AR182" s="187"/>
      <c r="AS182" s="187"/>
      <c r="AT182" s="224"/>
      <c r="AU182" s="224"/>
      <c r="AV182" s="224"/>
      <c r="AW182" s="224"/>
      <c r="AX182" s="224"/>
      <c r="AY182" s="224"/>
      <c r="AZ182" s="23"/>
      <c r="BA182" s="23"/>
      <c r="BB182"/>
      <c r="BC182"/>
      <c r="BD182"/>
    </row>
    <row r="183" spans="1:56" s="8" customFormat="1" x14ac:dyDescent="0.35">
      <c r="A183" s="16"/>
      <c r="B183" s="16"/>
      <c r="C183" s="16"/>
      <c r="D183" s="16"/>
      <c r="E183" s="16"/>
      <c r="F183" s="16"/>
      <c r="G183" s="16"/>
      <c r="H183" s="16"/>
      <c r="I183" s="16"/>
      <c r="J183" s="16"/>
      <c r="K183" s="16"/>
      <c r="L183" s="16"/>
      <c r="M183" s="16"/>
      <c r="AF183" s="16"/>
      <c r="AG183" s="16"/>
      <c r="AH183" s="187"/>
      <c r="AI183" s="187"/>
      <c r="AJ183" s="187"/>
      <c r="AK183" s="187"/>
      <c r="AL183" s="187"/>
      <c r="AM183" s="187"/>
      <c r="AN183" s="187"/>
      <c r="AO183" s="187"/>
      <c r="AP183" s="187"/>
      <c r="AQ183" s="187"/>
      <c r="AR183" s="187"/>
      <c r="AS183" s="187"/>
      <c r="AT183" s="224"/>
      <c r="AU183" s="224"/>
      <c r="AV183" s="224"/>
      <c r="AW183" s="224"/>
      <c r="AX183" s="224"/>
      <c r="AY183" s="224"/>
      <c r="AZ183" s="23"/>
      <c r="BA183" s="23"/>
      <c r="BB183"/>
      <c r="BC183"/>
      <c r="BD183"/>
    </row>
    <row r="184" spans="1:56" s="8" customFormat="1" x14ac:dyDescent="0.35">
      <c r="A184" s="16"/>
      <c r="B184" s="16"/>
      <c r="C184" s="16"/>
      <c r="D184" s="16"/>
      <c r="E184" s="16"/>
      <c r="F184" s="16"/>
      <c r="G184" s="16"/>
      <c r="H184" s="16"/>
      <c r="I184" s="16"/>
      <c r="J184" s="16"/>
      <c r="K184" s="16"/>
      <c r="L184" s="16"/>
      <c r="M184" s="16"/>
      <c r="AF184" s="16"/>
      <c r="AG184" s="16"/>
      <c r="AH184" s="187"/>
      <c r="AI184" s="187"/>
      <c r="AJ184" s="187"/>
      <c r="AK184" s="187"/>
      <c r="AL184" s="187"/>
      <c r="AM184" s="187"/>
      <c r="AN184" s="187"/>
      <c r="AO184" s="187"/>
      <c r="AP184" s="187"/>
      <c r="AQ184" s="187"/>
      <c r="AR184" s="187"/>
      <c r="AS184" s="187"/>
      <c r="AT184" s="224"/>
      <c r="AU184" s="224"/>
      <c r="AV184" s="224"/>
      <c r="AW184" s="224"/>
      <c r="AX184" s="224"/>
      <c r="AY184" s="224"/>
      <c r="AZ184" s="23"/>
      <c r="BA184" s="23"/>
      <c r="BB184"/>
      <c r="BC184"/>
      <c r="BD184"/>
    </row>
    <row r="185" spans="1:56" s="8" customFormat="1" x14ac:dyDescent="0.35">
      <c r="A185" s="16"/>
      <c r="B185" s="16"/>
      <c r="C185" s="16"/>
      <c r="D185" s="16"/>
      <c r="E185" s="16"/>
      <c r="F185" s="16"/>
      <c r="G185" s="16"/>
      <c r="H185" s="16"/>
      <c r="I185" s="16"/>
      <c r="J185" s="16"/>
      <c r="K185" s="16"/>
      <c r="L185" s="16"/>
      <c r="M185" s="16"/>
      <c r="AF185" s="16"/>
      <c r="AG185" s="16"/>
      <c r="AH185" s="187"/>
      <c r="AI185" s="187"/>
      <c r="AJ185" s="187"/>
      <c r="AK185" s="187"/>
      <c r="AL185" s="187"/>
      <c r="AM185" s="187"/>
      <c r="AN185" s="187"/>
      <c r="AO185" s="187"/>
      <c r="AP185" s="187"/>
      <c r="AQ185" s="187"/>
      <c r="AR185" s="187"/>
      <c r="AS185" s="187"/>
      <c r="AT185" s="224"/>
      <c r="AU185" s="224"/>
      <c r="AV185" s="224"/>
      <c r="AW185" s="224"/>
      <c r="AX185" s="224"/>
      <c r="AY185" s="224"/>
      <c r="AZ185" s="23"/>
      <c r="BA185" s="23"/>
      <c r="BB185"/>
      <c r="BC185"/>
      <c r="BD185"/>
    </row>
    <row r="186" spans="1:56" s="8" customFormat="1" x14ac:dyDescent="0.35">
      <c r="A186" s="16"/>
      <c r="B186" s="16"/>
      <c r="C186" s="16"/>
      <c r="D186" s="16"/>
      <c r="E186" s="16"/>
      <c r="F186" s="16"/>
      <c r="G186" s="16"/>
      <c r="H186" s="16"/>
      <c r="I186" s="16"/>
      <c r="J186" s="16"/>
      <c r="K186" s="16"/>
      <c r="L186" s="16"/>
      <c r="M186" s="16"/>
      <c r="AF186" s="16"/>
      <c r="AG186" s="16"/>
      <c r="AH186" s="187"/>
      <c r="AI186" s="187"/>
      <c r="AJ186" s="187"/>
      <c r="AK186" s="187"/>
      <c r="AL186" s="187"/>
      <c r="AM186" s="187"/>
      <c r="AN186" s="187"/>
      <c r="AO186" s="187"/>
      <c r="AP186" s="187"/>
      <c r="AQ186" s="187"/>
      <c r="AR186" s="187"/>
      <c r="AS186" s="187"/>
      <c r="AT186" s="224"/>
      <c r="AU186" s="224"/>
      <c r="AV186" s="224"/>
      <c r="AW186" s="224"/>
      <c r="AX186" s="224"/>
      <c r="AY186" s="224"/>
      <c r="AZ186" s="23"/>
      <c r="BA186" s="23"/>
      <c r="BB186"/>
      <c r="BC186"/>
      <c r="BD186"/>
    </row>
    <row r="187" spans="1:56" s="8" customFormat="1" x14ac:dyDescent="0.35">
      <c r="A187" s="16"/>
      <c r="B187" s="16"/>
      <c r="C187" s="16"/>
      <c r="D187" s="16"/>
      <c r="E187" s="16"/>
      <c r="F187" s="16"/>
      <c r="G187" s="16"/>
      <c r="H187" s="16"/>
      <c r="I187" s="16"/>
      <c r="J187" s="16"/>
      <c r="K187" s="16"/>
      <c r="L187" s="16"/>
      <c r="M187" s="16"/>
      <c r="AF187" s="16"/>
      <c r="AG187" s="16"/>
      <c r="AH187" s="187"/>
      <c r="AI187" s="187"/>
      <c r="AJ187" s="187"/>
      <c r="AK187" s="187"/>
      <c r="AL187" s="187"/>
      <c r="AM187" s="187"/>
      <c r="AN187" s="187"/>
      <c r="AO187" s="187"/>
      <c r="AP187" s="187"/>
      <c r="AQ187" s="187"/>
      <c r="AR187" s="187"/>
      <c r="AS187" s="187"/>
      <c r="AT187" s="224"/>
      <c r="AU187" s="224"/>
      <c r="AV187" s="224"/>
      <c r="AW187" s="224"/>
      <c r="AX187" s="224"/>
      <c r="AY187" s="224"/>
      <c r="AZ187" s="23"/>
      <c r="BA187" s="23"/>
      <c r="BB187"/>
      <c r="BC187"/>
      <c r="BD187"/>
    </row>
    <row r="188" spans="1:56" s="8" customFormat="1" x14ac:dyDescent="0.35">
      <c r="A188" s="16"/>
      <c r="B188" s="16"/>
      <c r="C188" s="16"/>
      <c r="D188" s="16"/>
      <c r="E188" s="16"/>
      <c r="F188" s="16"/>
      <c r="G188" s="16"/>
      <c r="H188" s="16"/>
      <c r="I188" s="16"/>
      <c r="J188" s="16"/>
      <c r="K188" s="16"/>
      <c r="L188" s="16"/>
      <c r="M188" s="16"/>
      <c r="AF188" s="16"/>
      <c r="AG188" s="16"/>
      <c r="AH188" s="187"/>
      <c r="AI188" s="187"/>
      <c r="AJ188" s="187"/>
      <c r="AK188" s="187"/>
      <c r="AL188" s="187"/>
      <c r="AM188" s="187"/>
      <c r="AN188" s="187"/>
      <c r="AO188" s="187"/>
      <c r="AP188" s="187"/>
      <c r="AQ188" s="187"/>
      <c r="AR188" s="187"/>
      <c r="AS188" s="187"/>
      <c r="AT188" s="224"/>
      <c r="AU188" s="224"/>
      <c r="AV188" s="224"/>
      <c r="AW188" s="224"/>
      <c r="AX188" s="224"/>
      <c r="AY188" s="224"/>
      <c r="AZ188" s="23"/>
      <c r="BA188" s="23"/>
      <c r="BB188"/>
      <c r="BC188"/>
      <c r="BD188"/>
    </row>
    <row r="189" spans="1:56" s="8" customFormat="1" x14ac:dyDescent="0.35">
      <c r="A189" s="16"/>
      <c r="B189" s="16"/>
      <c r="C189" s="16"/>
      <c r="D189" s="16"/>
      <c r="E189" s="16"/>
      <c r="F189" s="16"/>
      <c r="G189" s="16"/>
      <c r="H189" s="16"/>
      <c r="I189" s="16"/>
      <c r="J189" s="16"/>
      <c r="K189" s="16"/>
      <c r="L189" s="16"/>
      <c r="M189" s="16"/>
      <c r="AF189" s="16"/>
      <c r="AG189" s="16"/>
      <c r="AH189" s="187"/>
      <c r="AI189" s="187"/>
      <c r="AJ189" s="187"/>
      <c r="AK189" s="187"/>
      <c r="AL189" s="187"/>
      <c r="AM189" s="187"/>
      <c r="AN189" s="187"/>
      <c r="AO189" s="187"/>
      <c r="AP189" s="187"/>
      <c r="AQ189" s="187"/>
      <c r="AR189" s="187"/>
      <c r="AS189" s="187"/>
      <c r="AT189" s="224"/>
      <c r="AU189" s="224"/>
      <c r="AV189" s="224"/>
      <c r="AW189" s="224"/>
      <c r="AX189" s="224"/>
      <c r="AY189" s="224"/>
      <c r="AZ189" s="23"/>
      <c r="BA189" s="23"/>
      <c r="BB189"/>
      <c r="BC189"/>
      <c r="BD189"/>
    </row>
    <row r="190" spans="1:56" s="8" customFormat="1" x14ac:dyDescent="0.35">
      <c r="A190" s="16"/>
      <c r="B190" s="16"/>
      <c r="C190" s="16"/>
      <c r="D190" s="16"/>
      <c r="E190" s="16"/>
      <c r="F190" s="16"/>
      <c r="G190" s="16"/>
      <c r="H190" s="16"/>
      <c r="I190" s="16"/>
      <c r="J190" s="16"/>
      <c r="K190" s="16"/>
      <c r="L190" s="16"/>
      <c r="M190" s="16"/>
      <c r="AF190" s="16"/>
      <c r="AG190" s="16"/>
      <c r="AH190" s="187"/>
      <c r="AI190" s="187"/>
      <c r="AJ190" s="187"/>
      <c r="AK190" s="187"/>
      <c r="AL190" s="187"/>
      <c r="AM190" s="187"/>
      <c r="AN190" s="187"/>
      <c r="AO190" s="187"/>
      <c r="AP190" s="187"/>
      <c r="AQ190" s="187"/>
      <c r="AR190" s="187"/>
      <c r="AS190" s="187"/>
      <c r="AT190" s="224"/>
      <c r="AU190" s="224"/>
      <c r="AV190" s="224"/>
      <c r="AW190" s="224"/>
      <c r="AX190" s="224"/>
      <c r="AY190" s="224"/>
      <c r="AZ190" s="23"/>
      <c r="BA190" s="23"/>
      <c r="BB190"/>
      <c r="BC190"/>
      <c r="BD190"/>
    </row>
    <row r="191" spans="1:56" s="8" customFormat="1" x14ac:dyDescent="0.35">
      <c r="A191" s="16"/>
      <c r="B191" s="16"/>
      <c r="C191" s="16"/>
      <c r="D191" s="16"/>
      <c r="E191" s="16"/>
      <c r="F191" s="16"/>
      <c r="G191" s="16"/>
      <c r="H191" s="16"/>
      <c r="I191" s="16"/>
      <c r="J191" s="16"/>
      <c r="K191" s="16"/>
      <c r="L191" s="16"/>
      <c r="M191" s="16"/>
      <c r="AF191" s="16"/>
      <c r="AG191" s="16"/>
      <c r="AH191" s="187"/>
      <c r="AI191" s="187"/>
      <c r="AJ191" s="187"/>
      <c r="AK191" s="187"/>
      <c r="AL191" s="187"/>
      <c r="AM191" s="187"/>
      <c r="AN191" s="187"/>
      <c r="AO191" s="187"/>
      <c r="AP191" s="187"/>
      <c r="AQ191" s="187"/>
      <c r="AR191" s="187"/>
      <c r="AS191" s="187"/>
      <c r="AT191" s="224"/>
      <c r="AU191" s="224"/>
      <c r="AV191" s="224"/>
      <c r="AW191" s="224"/>
      <c r="AX191" s="224"/>
      <c r="AY191" s="224"/>
      <c r="AZ191" s="23"/>
      <c r="BA191" s="23"/>
      <c r="BB191"/>
      <c r="BC191"/>
      <c r="BD191"/>
    </row>
    <row r="192" spans="1:56" s="8" customFormat="1" x14ac:dyDescent="0.35">
      <c r="A192" s="16"/>
      <c r="B192" s="16"/>
      <c r="C192" s="16"/>
      <c r="D192" s="16"/>
      <c r="E192" s="16"/>
      <c r="F192" s="16"/>
      <c r="G192" s="16"/>
      <c r="H192" s="16"/>
      <c r="I192" s="16"/>
      <c r="J192" s="16"/>
      <c r="K192" s="16"/>
      <c r="L192" s="16"/>
      <c r="M192" s="16"/>
      <c r="AF192" s="16"/>
      <c r="AG192" s="16"/>
      <c r="AH192" s="187"/>
      <c r="AI192" s="187"/>
      <c r="AJ192" s="187"/>
      <c r="AK192" s="187"/>
      <c r="AL192" s="187"/>
      <c r="AM192" s="187"/>
      <c r="AN192" s="187"/>
      <c r="AO192" s="187"/>
      <c r="AP192" s="187"/>
      <c r="AQ192" s="187"/>
      <c r="AR192" s="187"/>
      <c r="AS192" s="187"/>
      <c r="AT192" s="224"/>
      <c r="AU192" s="224"/>
      <c r="AV192" s="224"/>
      <c r="AW192" s="224"/>
      <c r="AX192" s="224"/>
      <c r="AY192" s="224"/>
      <c r="AZ192" s="23"/>
      <c r="BA192" s="23"/>
      <c r="BB192"/>
      <c r="BC192"/>
      <c r="BD192"/>
    </row>
    <row r="193" spans="1:56" s="8" customFormat="1" x14ac:dyDescent="0.35">
      <c r="A193" s="16"/>
      <c r="B193" s="16"/>
      <c r="C193" s="16"/>
      <c r="D193" s="16"/>
      <c r="E193" s="16"/>
      <c r="F193" s="16"/>
      <c r="G193" s="16"/>
      <c r="H193" s="16"/>
      <c r="I193" s="16"/>
      <c r="J193" s="16"/>
      <c r="K193" s="16"/>
      <c r="L193" s="16"/>
      <c r="M193" s="16"/>
      <c r="AF193" s="16"/>
      <c r="AG193" s="16"/>
      <c r="AH193" s="187"/>
      <c r="AI193" s="187"/>
      <c r="AJ193" s="187"/>
      <c r="AK193" s="187"/>
      <c r="AL193" s="187"/>
      <c r="AM193" s="187"/>
      <c r="AN193" s="187"/>
      <c r="AO193" s="187"/>
      <c r="AP193" s="187"/>
      <c r="AQ193" s="187"/>
      <c r="AR193" s="187"/>
      <c r="AS193" s="187"/>
      <c r="AT193" s="224"/>
      <c r="AU193" s="224"/>
      <c r="AV193" s="224"/>
      <c r="AW193" s="224"/>
      <c r="AX193" s="224"/>
      <c r="AY193" s="224"/>
      <c r="AZ193" s="23"/>
      <c r="BA193" s="23"/>
      <c r="BB193"/>
      <c r="BC193"/>
      <c r="BD193"/>
    </row>
    <row r="194" spans="1:56" s="8" customFormat="1" x14ac:dyDescent="0.35">
      <c r="A194" s="16"/>
      <c r="B194" s="16"/>
      <c r="C194" s="16"/>
      <c r="D194" s="16"/>
      <c r="E194" s="16"/>
      <c r="F194" s="16"/>
      <c r="G194" s="16"/>
      <c r="H194" s="16"/>
      <c r="I194" s="16"/>
      <c r="J194" s="16"/>
      <c r="K194" s="16"/>
      <c r="L194" s="16"/>
      <c r="M194" s="16"/>
      <c r="AF194" s="16"/>
      <c r="AG194" s="16"/>
      <c r="AH194" s="187"/>
      <c r="AI194" s="187"/>
      <c r="AJ194" s="187"/>
      <c r="AK194" s="187"/>
      <c r="AL194" s="187"/>
      <c r="AM194" s="187"/>
      <c r="AN194" s="187"/>
      <c r="AO194" s="187"/>
      <c r="AP194" s="187"/>
      <c r="AQ194" s="187"/>
      <c r="AR194" s="187"/>
      <c r="AS194" s="187"/>
      <c r="AT194" s="224"/>
      <c r="AU194" s="224"/>
      <c r="AV194" s="224"/>
      <c r="AW194" s="224"/>
      <c r="AX194" s="224"/>
      <c r="AY194" s="224"/>
      <c r="AZ194" s="23"/>
      <c r="BA194" s="23"/>
      <c r="BB194"/>
      <c r="BC194"/>
      <c r="BD194"/>
    </row>
    <row r="195" spans="1:56" s="8" customFormat="1" x14ac:dyDescent="0.35">
      <c r="A195" s="16"/>
      <c r="B195" s="16"/>
      <c r="C195" s="16"/>
      <c r="D195" s="16"/>
      <c r="E195" s="16"/>
      <c r="F195" s="16"/>
      <c r="G195" s="16"/>
      <c r="H195" s="16"/>
      <c r="I195" s="16"/>
      <c r="J195" s="16"/>
      <c r="K195" s="16"/>
      <c r="L195" s="16"/>
      <c r="M195" s="16"/>
      <c r="AF195" s="16"/>
      <c r="AG195" s="16"/>
      <c r="AH195" s="187"/>
      <c r="AI195" s="187"/>
      <c r="AJ195" s="187"/>
      <c r="AK195" s="187"/>
      <c r="AL195" s="187"/>
      <c r="AM195" s="187"/>
      <c r="AN195" s="187"/>
      <c r="AO195" s="187"/>
      <c r="AP195" s="187"/>
      <c r="AQ195" s="187"/>
      <c r="AR195" s="187"/>
      <c r="AS195" s="187"/>
      <c r="AT195" s="224"/>
      <c r="AU195" s="224"/>
      <c r="AV195" s="224"/>
      <c r="AW195" s="224"/>
      <c r="AX195" s="224"/>
      <c r="AY195" s="224"/>
      <c r="AZ195" s="23"/>
      <c r="BA195" s="23"/>
      <c r="BB195"/>
      <c r="BC195"/>
      <c r="BD195"/>
    </row>
    <row r="196" spans="1:56" s="8" customFormat="1" x14ac:dyDescent="0.35">
      <c r="A196" s="16"/>
      <c r="B196" s="16"/>
      <c r="C196" s="16"/>
      <c r="D196" s="16"/>
      <c r="E196" s="16"/>
      <c r="F196" s="16"/>
      <c r="G196" s="16"/>
      <c r="H196" s="16"/>
      <c r="I196" s="16"/>
      <c r="J196" s="16"/>
      <c r="K196" s="16"/>
      <c r="L196" s="16"/>
      <c r="M196" s="16"/>
      <c r="AF196" s="16"/>
      <c r="AG196" s="16"/>
      <c r="AH196" s="187"/>
      <c r="AI196" s="187"/>
      <c r="AJ196" s="187"/>
      <c r="AK196" s="187"/>
      <c r="AL196" s="187"/>
      <c r="AM196" s="187"/>
      <c r="AN196" s="187"/>
      <c r="AO196" s="187"/>
      <c r="AP196" s="187"/>
      <c r="AQ196" s="187"/>
      <c r="AR196" s="187"/>
      <c r="AS196" s="187"/>
      <c r="AT196" s="224"/>
      <c r="AU196" s="224"/>
      <c r="AV196" s="224"/>
      <c r="AW196" s="224"/>
      <c r="AX196" s="224"/>
      <c r="AY196" s="224"/>
      <c r="AZ196" s="23"/>
      <c r="BA196" s="23"/>
      <c r="BB196"/>
      <c r="BC196"/>
      <c r="BD196"/>
    </row>
    <row r="197" spans="1:56" s="8" customFormat="1" x14ac:dyDescent="0.35">
      <c r="A197" s="16"/>
      <c r="B197" s="16"/>
      <c r="C197" s="16"/>
      <c r="D197" s="16"/>
      <c r="E197" s="16"/>
      <c r="F197" s="16"/>
      <c r="G197" s="16"/>
      <c r="H197" s="16"/>
      <c r="I197" s="16"/>
      <c r="J197" s="16"/>
      <c r="K197" s="16"/>
      <c r="L197" s="16"/>
      <c r="M197" s="16"/>
      <c r="AF197" s="16"/>
      <c r="AG197" s="16"/>
      <c r="AH197" s="187"/>
      <c r="AI197" s="187"/>
      <c r="AJ197" s="187"/>
      <c r="AK197" s="187"/>
      <c r="AL197" s="187"/>
      <c r="AM197" s="187"/>
      <c r="AN197" s="187"/>
      <c r="AO197" s="187"/>
      <c r="AP197" s="187"/>
      <c r="AQ197" s="187"/>
      <c r="AR197" s="187"/>
      <c r="AS197" s="187"/>
      <c r="AT197" s="224"/>
      <c r="AU197" s="224"/>
      <c r="AV197" s="224"/>
      <c r="AW197" s="224"/>
      <c r="AX197" s="224"/>
      <c r="AY197" s="224"/>
      <c r="AZ197" s="23"/>
      <c r="BA197" s="23"/>
      <c r="BB197"/>
      <c r="BC197"/>
      <c r="BD197"/>
    </row>
    <row r="198" spans="1:56" s="8" customFormat="1" x14ac:dyDescent="0.35">
      <c r="A198" s="16"/>
      <c r="B198" s="16"/>
      <c r="C198" s="16"/>
      <c r="D198" s="16"/>
      <c r="E198" s="16"/>
      <c r="F198" s="16"/>
      <c r="G198" s="16"/>
      <c r="H198" s="16"/>
      <c r="I198" s="16"/>
      <c r="J198" s="16"/>
      <c r="K198" s="16"/>
      <c r="L198" s="16"/>
      <c r="M198" s="16"/>
      <c r="AF198" s="16"/>
      <c r="AG198" s="16"/>
      <c r="AH198" s="187"/>
      <c r="AI198" s="187"/>
      <c r="AJ198" s="187"/>
      <c r="AK198" s="187"/>
      <c r="AL198" s="187"/>
      <c r="AM198" s="187"/>
      <c r="AN198" s="187"/>
      <c r="AO198" s="187"/>
      <c r="AP198" s="187"/>
      <c r="AQ198" s="187"/>
      <c r="AR198" s="187"/>
      <c r="AS198" s="187"/>
      <c r="AT198" s="224"/>
      <c r="AU198" s="224"/>
      <c r="AV198" s="224"/>
      <c r="AW198" s="224"/>
      <c r="AX198" s="224"/>
      <c r="AY198" s="224"/>
      <c r="AZ198" s="23"/>
      <c r="BA198" s="23"/>
      <c r="BB198"/>
      <c r="BC198"/>
      <c r="BD198"/>
    </row>
    <row r="199" spans="1:56" s="8" customFormat="1" x14ac:dyDescent="0.35">
      <c r="A199" s="16"/>
      <c r="B199" s="16"/>
      <c r="C199" s="16"/>
      <c r="D199" s="16"/>
      <c r="E199" s="16"/>
      <c r="F199" s="16"/>
      <c r="G199" s="16"/>
      <c r="H199" s="16"/>
      <c r="I199" s="16"/>
      <c r="J199" s="16"/>
      <c r="K199" s="16"/>
      <c r="L199" s="16"/>
      <c r="M199" s="16"/>
      <c r="AF199" s="16"/>
      <c r="AG199" s="16"/>
      <c r="AH199" s="187"/>
      <c r="AI199" s="187"/>
      <c r="AJ199" s="187"/>
      <c r="AK199" s="187"/>
      <c r="AL199" s="187"/>
      <c r="AM199" s="187"/>
      <c r="AN199" s="187"/>
      <c r="AO199" s="187"/>
      <c r="AP199" s="187"/>
      <c r="AQ199" s="187"/>
      <c r="AR199" s="187"/>
      <c r="AS199" s="187"/>
      <c r="AT199" s="224"/>
      <c r="AU199" s="224"/>
      <c r="AV199" s="224"/>
      <c r="AW199" s="224"/>
      <c r="AX199" s="224"/>
      <c r="AY199" s="224"/>
      <c r="AZ199" s="23"/>
      <c r="BA199" s="23"/>
      <c r="BB199"/>
      <c r="BC199"/>
      <c r="BD199"/>
    </row>
    <row r="200" spans="1:56" s="8" customFormat="1" x14ac:dyDescent="0.35">
      <c r="A200" s="16"/>
      <c r="B200" s="16"/>
      <c r="C200" s="16"/>
      <c r="D200" s="16"/>
      <c r="E200" s="16"/>
      <c r="F200" s="16"/>
      <c r="G200" s="16"/>
      <c r="H200" s="16"/>
      <c r="I200" s="16"/>
      <c r="J200" s="16"/>
      <c r="K200" s="16"/>
      <c r="L200" s="16"/>
      <c r="M200" s="16"/>
      <c r="AF200" s="16"/>
      <c r="AG200" s="16"/>
      <c r="AH200" s="187"/>
      <c r="AI200" s="187"/>
      <c r="AJ200" s="187"/>
      <c r="AK200" s="187"/>
      <c r="AL200" s="187"/>
      <c r="AM200" s="187"/>
      <c r="AN200" s="187"/>
      <c r="AO200" s="187"/>
      <c r="AP200" s="187"/>
      <c r="AQ200" s="187"/>
      <c r="AR200" s="187"/>
      <c r="AS200" s="187"/>
      <c r="AT200" s="224"/>
      <c r="AU200" s="224"/>
      <c r="AV200" s="224"/>
      <c r="AW200" s="224"/>
      <c r="AX200" s="224"/>
      <c r="AY200" s="224"/>
      <c r="AZ200" s="23"/>
      <c r="BA200" s="23"/>
      <c r="BB200"/>
      <c r="BC200"/>
      <c r="BD200"/>
    </row>
    <row r="201" spans="1:56" s="8" customFormat="1" x14ac:dyDescent="0.35">
      <c r="A201" s="16"/>
      <c r="B201" s="16"/>
      <c r="C201" s="16"/>
      <c r="D201" s="16"/>
      <c r="E201" s="16"/>
      <c r="F201" s="16"/>
      <c r="G201" s="16"/>
      <c r="H201" s="16"/>
      <c r="I201" s="16"/>
      <c r="J201" s="16"/>
      <c r="K201" s="16"/>
      <c r="L201" s="16"/>
      <c r="M201" s="16"/>
      <c r="AF201" s="16"/>
      <c r="AG201" s="16"/>
      <c r="AH201" s="187"/>
      <c r="AI201" s="187"/>
      <c r="AJ201" s="187"/>
      <c r="AK201" s="187"/>
      <c r="AL201" s="187"/>
      <c r="AM201" s="187"/>
      <c r="AN201" s="187"/>
      <c r="AO201" s="187"/>
      <c r="AP201" s="187"/>
      <c r="AQ201" s="187"/>
      <c r="AR201" s="187"/>
      <c r="AS201" s="187"/>
      <c r="AT201" s="224"/>
      <c r="AU201" s="224"/>
      <c r="AV201" s="224"/>
      <c r="AW201" s="224"/>
      <c r="AX201" s="224"/>
      <c r="AY201" s="224"/>
      <c r="AZ201" s="23"/>
      <c r="BA201" s="23"/>
      <c r="BB201"/>
      <c r="BC201"/>
      <c r="BD201"/>
    </row>
    <row r="202" spans="1:56" s="8" customFormat="1" x14ac:dyDescent="0.35">
      <c r="A202" s="16"/>
      <c r="B202" s="16"/>
      <c r="C202" s="16"/>
      <c r="D202" s="16"/>
      <c r="E202" s="16"/>
      <c r="F202" s="16"/>
      <c r="G202" s="16"/>
      <c r="H202" s="16"/>
      <c r="I202" s="16"/>
      <c r="J202" s="16"/>
      <c r="K202" s="16"/>
      <c r="L202" s="16"/>
      <c r="M202" s="16"/>
      <c r="AF202" s="16"/>
      <c r="AG202" s="16"/>
      <c r="AH202" s="187"/>
      <c r="AI202" s="187"/>
      <c r="AJ202" s="187"/>
      <c r="AK202" s="187"/>
      <c r="AL202" s="187"/>
      <c r="AM202" s="187"/>
      <c r="AN202" s="187"/>
      <c r="AO202" s="187"/>
      <c r="AP202" s="187"/>
      <c r="AQ202" s="187"/>
      <c r="AR202" s="187"/>
      <c r="AS202" s="187"/>
      <c r="AT202" s="224"/>
      <c r="AU202" s="224"/>
      <c r="AV202" s="224"/>
      <c r="AW202" s="224"/>
      <c r="AX202" s="224"/>
      <c r="AY202" s="224"/>
      <c r="AZ202" s="23"/>
      <c r="BA202" s="23"/>
      <c r="BB202"/>
      <c r="BC202"/>
      <c r="BD202"/>
    </row>
    <row r="203" spans="1:56" s="8" customFormat="1" x14ac:dyDescent="0.35">
      <c r="A203" s="16"/>
      <c r="B203" s="16"/>
      <c r="C203" s="16"/>
      <c r="D203" s="16"/>
      <c r="E203" s="16"/>
      <c r="F203" s="16"/>
      <c r="G203" s="16"/>
      <c r="H203" s="16"/>
      <c r="I203" s="16"/>
      <c r="J203" s="16"/>
      <c r="K203" s="16"/>
      <c r="L203" s="16"/>
      <c r="M203" s="16"/>
      <c r="AF203" s="16"/>
      <c r="AG203" s="16"/>
      <c r="AH203" s="187"/>
      <c r="AI203" s="187"/>
      <c r="AJ203" s="187"/>
      <c r="AK203" s="187"/>
      <c r="AL203" s="187"/>
      <c r="AM203" s="187"/>
      <c r="AN203" s="187"/>
      <c r="AO203" s="187"/>
      <c r="AP203" s="187"/>
      <c r="AQ203" s="187"/>
      <c r="AR203" s="187"/>
      <c r="AS203" s="187"/>
      <c r="AT203" s="224"/>
      <c r="AU203" s="224"/>
      <c r="AV203" s="224"/>
      <c r="AW203" s="224"/>
      <c r="AX203" s="224"/>
      <c r="AY203" s="224"/>
      <c r="AZ203" s="23"/>
      <c r="BA203" s="23"/>
      <c r="BB203"/>
      <c r="BC203"/>
      <c r="BD203"/>
    </row>
    <row r="204" spans="1:56" s="8" customFormat="1" x14ac:dyDescent="0.35">
      <c r="A204" s="16"/>
      <c r="B204" s="16"/>
      <c r="C204" s="16"/>
      <c r="D204" s="16"/>
      <c r="E204" s="16"/>
      <c r="F204" s="16"/>
      <c r="G204" s="16"/>
      <c r="H204" s="16"/>
      <c r="I204" s="16"/>
      <c r="J204" s="16"/>
      <c r="K204" s="16"/>
      <c r="L204" s="16"/>
      <c r="M204" s="16"/>
      <c r="AF204" s="16"/>
      <c r="AG204" s="16"/>
      <c r="AH204" s="187"/>
      <c r="AI204" s="187"/>
      <c r="AJ204" s="187"/>
      <c r="AK204" s="187"/>
      <c r="AL204" s="187"/>
      <c r="AM204" s="187"/>
      <c r="AN204" s="187"/>
      <c r="AO204" s="187"/>
      <c r="AP204" s="187"/>
      <c r="AQ204" s="187"/>
      <c r="AR204" s="187"/>
      <c r="AS204" s="187"/>
      <c r="AT204" s="224"/>
      <c r="AU204" s="224"/>
      <c r="AV204" s="224"/>
      <c r="AW204" s="224"/>
      <c r="AX204" s="224"/>
      <c r="AY204" s="224"/>
      <c r="AZ204" s="23"/>
      <c r="BA204" s="23"/>
      <c r="BB204"/>
      <c r="BC204"/>
      <c r="BD204"/>
    </row>
    <row r="205" spans="1:56" s="8" customFormat="1" x14ac:dyDescent="0.35">
      <c r="A205" s="16"/>
      <c r="B205" s="16"/>
      <c r="C205" s="16"/>
      <c r="D205" s="16"/>
      <c r="E205" s="16"/>
      <c r="F205" s="16"/>
      <c r="G205" s="16"/>
      <c r="H205" s="16"/>
      <c r="I205" s="16"/>
      <c r="J205" s="16"/>
      <c r="K205" s="16"/>
      <c r="L205" s="16"/>
      <c r="M205" s="16"/>
      <c r="AF205" s="16"/>
      <c r="AG205" s="16"/>
      <c r="AH205" s="187"/>
      <c r="AI205" s="187"/>
      <c r="AJ205" s="187"/>
      <c r="AK205" s="187"/>
      <c r="AL205" s="187"/>
      <c r="AM205" s="187"/>
      <c r="AN205" s="187"/>
      <c r="AO205" s="187"/>
      <c r="AP205" s="187"/>
      <c r="AQ205" s="187"/>
      <c r="AR205" s="187"/>
      <c r="AS205" s="187"/>
      <c r="AT205" s="224"/>
      <c r="AU205" s="224"/>
      <c r="AV205" s="224"/>
      <c r="AW205" s="224"/>
      <c r="AX205" s="224"/>
      <c r="AY205" s="224"/>
      <c r="AZ205" s="23"/>
      <c r="BA205" s="23"/>
      <c r="BB205"/>
      <c r="BC205"/>
      <c r="BD205"/>
    </row>
    <row r="206" spans="1:56" s="8" customFormat="1" x14ac:dyDescent="0.35">
      <c r="A206" s="16"/>
      <c r="B206" s="16"/>
      <c r="C206" s="16"/>
      <c r="D206" s="16"/>
      <c r="E206" s="16"/>
      <c r="F206" s="16"/>
      <c r="G206" s="16"/>
      <c r="H206" s="16"/>
      <c r="I206" s="16"/>
      <c r="J206" s="16"/>
      <c r="K206" s="16"/>
      <c r="L206" s="16"/>
      <c r="M206" s="16"/>
      <c r="AF206" s="16"/>
      <c r="AG206" s="16"/>
      <c r="AH206" s="187"/>
      <c r="AI206" s="187"/>
      <c r="AJ206" s="187"/>
      <c r="AK206" s="187"/>
      <c r="AL206" s="187"/>
      <c r="AM206" s="187"/>
      <c r="AN206" s="187"/>
      <c r="AO206" s="187"/>
      <c r="AP206" s="187"/>
      <c r="AQ206" s="187"/>
      <c r="AR206" s="187"/>
      <c r="AS206" s="187"/>
      <c r="AT206" s="224"/>
      <c r="AU206" s="224"/>
      <c r="AV206" s="224"/>
      <c r="AW206" s="224"/>
      <c r="AX206" s="224"/>
      <c r="AY206" s="224"/>
      <c r="AZ206" s="23"/>
      <c r="BA206" s="23"/>
      <c r="BB206"/>
      <c r="BC206"/>
      <c r="BD206"/>
    </row>
    <row r="207" spans="1:56" s="8" customFormat="1" x14ac:dyDescent="0.35">
      <c r="A207" s="16"/>
      <c r="B207" s="16"/>
      <c r="C207" s="16"/>
      <c r="D207" s="16"/>
      <c r="E207" s="16"/>
      <c r="F207" s="16"/>
      <c r="G207" s="16"/>
      <c r="H207" s="16"/>
      <c r="I207" s="16"/>
      <c r="J207" s="16"/>
      <c r="K207" s="16"/>
      <c r="L207" s="16"/>
      <c r="M207" s="16"/>
      <c r="AF207" s="16"/>
      <c r="AG207" s="16"/>
      <c r="AH207" s="187"/>
      <c r="AI207" s="187"/>
      <c r="AJ207" s="187"/>
      <c r="AK207" s="187"/>
      <c r="AL207" s="187"/>
      <c r="AM207" s="187"/>
      <c r="AN207" s="187"/>
      <c r="AO207" s="187"/>
      <c r="AP207" s="187"/>
      <c r="AQ207" s="187"/>
      <c r="AR207" s="187"/>
      <c r="AS207" s="187"/>
      <c r="AT207" s="224"/>
      <c r="AU207" s="224"/>
      <c r="AV207" s="224"/>
      <c r="AW207" s="224"/>
      <c r="AX207" s="224"/>
      <c r="AY207" s="224"/>
      <c r="AZ207" s="23"/>
      <c r="BA207" s="23"/>
      <c r="BB207"/>
      <c r="BC207"/>
      <c r="BD207"/>
    </row>
    <row r="208" spans="1:56" s="8" customFormat="1" x14ac:dyDescent="0.35">
      <c r="A208" s="16"/>
      <c r="B208" s="16"/>
      <c r="C208" s="16"/>
      <c r="D208" s="16"/>
      <c r="E208" s="16"/>
      <c r="F208" s="16"/>
      <c r="G208" s="16"/>
      <c r="H208" s="16"/>
      <c r="I208" s="16"/>
      <c r="J208" s="16"/>
      <c r="K208" s="16"/>
      <c r="L208" s="16"/>
      <c r="M208" s="16"/>
      <c r="AF208" s="16"/>
      <c r="AG208" s="16"/>
      <c r="AH208" s="187"/>
      <c r="AI208" s="187"/>
      <c r="AJ208" s="187"/>
      <c r="AK208" s="187"/>
      <c r="AL208" s="187"/>
      <c r="AM208" s="187"/>
      <c r="AN208" s="187"/>
      <c r="AO208" s="187"/>
      <c r="AP208" s="187"/>
      <c r="AQ208" s="187"/>
      <c r="AR208" s="187"/>
      <c r="AS208" s="187"/>
      <c r="AT208" s="224"/>
      <c r="AU208" s="224"/>
      <c r="AV208" s="224"/>
      <c r="AW208" s="224"/>
      <c r="AX208" s="224"/>
      <c r="AY208" s="224"/>
      <c r="AZ208" s="23"/>
      <c r="BA208" s="23"/>
      <c r="BB208"/>
      <c r="BC208"/>
      <c r="BD208"/>
    </row>
    <row r="209" spans="1:56" s="8" customFormat="1" x14ac:dyDescent="0.35">
      <c r="A209" s="16"/>
      <c r="B209" s="16"/>
      <c r="C209" s="16"/>
      <c r="D209" s="16"/>
      <c r="E209" s="16"/>
      <c r="F209" s="16"/>
      <c r="G209" s="16"/>
      <c r="H209" s="16"/>
      <c r="I209" s="16"/>
      <c r="J209" s="16"/>
      <c r="K209" s="16"/>
      <c r="L209" s="16"/>
      <c r="M209" s="16"/>
      <c r="AF209" s="16"/>
      <c r="AG209" s="16"/>
      <c r="AH209" s="187"/>
      <c r="AI209" s="187"/>
      <c r="AJ209" s="187"/>
      <c r="AK209" s="187"/>
      <c r="AL209" s="187"/>
      <c r="AM209" s="187"/>
      <c r="AN209" s="187"/>
      <c r="AO209" s="187"/>
      <c r="AP209" s="187"/>
      <c r="AQ209" s="187"/>
      <c r="AR209" s="187"/>
      <c r="AS209" s="187"/>
      <c r="AT209" s="224"/>
      <c r="AU209" s="224"/>
      <c r="AV209" s="224"/>
      <c r="AW209" s="224"/>
      <c r="AX209" s="224"/>
      <c r="AY209" s="224"/>
      <c r="AZ209" s="23"/>
      <c r="BA209" s="23"/>
      <c r="BB209"/>
      <c r="BC209"/>
      <c r="BD209"/>
    </row>
    <row r="210" spans="1:56" s="8" customFormat="1" x14ac:dyDescent="0.35">
      <c r="A210" s="16"/>
      <c r="B210" s="16"/>
      <c r="C210" s="16"/>
      <c r="D210" s="16"/>
      <c r="E210" s="16"/>
      <c r="F210" s="16"/>
      <c r="G210" s="16"/>
      <c r="H210" s="16"/>
      <c r="I210" s="16"/>
      <c r="J210" s="16"/>
      <c r="K210" s="16"/>
      <c r="L210" s="16"/>
      <c r="M210" s="16"/>
      <c r="AF210" s="16"/>
      <c r="AG210" s="16"/>
      <c r="AH210" s="187"/>
      <c r="AI210" s="187"/>
      <c r="AJ210" s="187"/>
      <c r="AK210" s="187"/>
      <c r="AL210" s="187"/>
      <c r="AM210" s="187"/>
      <c r="AN210" s="187"/>
      <c r="AO210" s="187"/>
      <c r="AP210" s="187"/>
      <c r="AQ210" s="187"/>
      <c r="AR210" s="187"/>
      <c r="AS210" s="187"/>
      <c r="AT210" s="224"/>
      <c r="AU210" s="224"/>
      <c r="AV210" s="224"/>
      <c r="AW210" s="224"/>
      <c r="AX210" s="224"/>
      <c r="AY210" s="224"/>
      <c r="AZ210" s="23"/>
      <c r="BA210" s="23"/>
      <c r="BB210"/>
      <c r="BC210"/>
      <c r="BD210"/>
    </row>
    <row r="211" spans="1:56" s="8" customFormat="1" x14ac:dyDescent="0.35">
      <c r="A211" s="16"/>
      <c r="B211" s="16"/>
      <c r="C211" s="16"/>
      <c r="D211" s="16"/>
      <c r="E211" s="16"/>
      <c r="F211" s="16"/>
      <c r="G211" s="16"/>
      <c r="H211" s="16"/>
      <c r="I211" s="16"/>
      <c r="J211" s="16"/>
      <c r="K211" s="16"/>
      <c r="L211" s="16"/>
      <c r="M211" s="16"/>
      <c r="AF211" s="16"/>
      <c r="AG211" s="16"/>
      <c r="AH211" s="187"/>
      <c r="AI211" s="187"/>
      <c r="AJ211" s="187"/>
      <c r="AK211" s="187"/>
      <c r="AL211" s="187"/>
      <c r="AM211" s="187"/>
      <c r="AN211" s="187"/>
      <c r="AO211" s="187"/>
      <c r="AP211" s="187"/>
      <c r="AQ211" s="187"/>
      <c r="AR211" s="187"/>
      <c r="AS211" s="187"/>
      <c r="AT211" s="224"/>
      <c r="AU211" s="224"/>
      <c r="AV211" s="224"/>
      <c r="AW211" s="224"/>
      <c r="AX211" s="224"/>
      <c r="AY211" s="224"/>
      <c r="AZ211" s="23"/>
      <c r="BA211" s="23"/>
      <c r="BB211"/>
      <c r="BC211"/>
      <c r="BD211"/>
    </row>
    <row r="212" spans="1:56" s="8" customFormat="1" x14ac:dyDescent="0.35">
      <c r="A212" s="16"/>
      <c r="B212" s="16"/>
      <c r="C212" s="16"/>
      <c r="D212" s="16"/>
      <c r="E212" s="16"/>
      <c r="F212" s="16"/>
      <c r="G212" s="16"/>
      <c r="H212" s="16"/>
      <c r="I212" s="16"/>
      <c r="J212" s="16"/>
      <c r="K212" s="16"/>
      <c r="L212" s="16"/>
      <c r="M212" s="16"/>
      <c r="AH212" s="187"/>
      <c r="AI212" s="187"/>
      <c r="AJ212" s="187"/>
      <c r="AK212" s="187"/>
      <c r="AL212" s="187"/>
      <c r="AM212" s="187"/>
      <c r="AN212" s="187"/>
      <c r="AO212" s="187"/>
      <c r="AP212" s="187"/>
      <c r="AQ212" s="187"/>
      <c r="AR212" s="187"/>
      <c r="AS212" s="187"/>
      <c r="AT212" s="224"/>
      <c r="AU212" s="224"/>
      <c r="AV212" s="224"/>
      <c r="AW212" s="224"/>
      <c r="AX212" s="224"/>
      <c r="AY212" s="224"/>
      <c r="AZ212" s="23"/>
      <c r="BA212" s="23"/>
      <c r="BB212"/>
      <c r="BC212"/>
      <c r="BD212"/>
    </row>
    <row r="213" spans="1:56" s="8" customFormat="1" x14ac:dyDescent="0.35">
      <c r="A213" s="16"/>
      <c r="B213" s="16"/>
      <c r="C213" s="16"/>
      <c r="D213" s="16"/>
      <c r="E213" s="16"/>
      <c r="F213" s="16"/>
      <c r="G213" s="16"/>
      <c r="H213" s="16"/>
      <c r="I213" s="16"/>
      <c r="J213" s="16"/>
      <c r="K213" s="16"/>
      <c r="L213" s="16"/>
      <c r="M213" s="16"/>
      <c r="AH213" s="187"/>
      <c r="AI213" s="187"/>
      <c r="AJ213" s="187"/>
      <c r="AK213" s="187"/>
      <c r="AL213" s="187"/>
      <c r="AM213" s="187"/>
      <c r="AN213" s="187"/>
      <c r="AO213" s="187"/>
      <c r="AP213" s="187"/>
      <c r="AQ213" s="187"/>
      <c r="AR213" s="187"/>
      <c r="AS213" s="187"/>
      <c r="AT213" s="224"/>
      <c r="AU213" s="224"/>
      <c r="AV213" s="224"/>
      <c r="AW213" s="224"/>
      <c r="AX213" s="224"/>
      <c r="AY213" s="224"/>
      <c r="AZ213" s="23"/>
      <c r="BA213" s="23"/>
      <c r="BB213"/>
      <c r="BC213"/>
      <c r="BD213"/>
    </row>
    <row r="214" spans="1:56" s="8" customFormat="1" x14ac:dyDescent="0.35">
      <c r="A214" s="16"/>
      <c r="B214" s="16"/>
      <c r="C214" s="16"/>
      <c r="D214" s="16"/>
      <c r="E214" s="16"/>
      <c r="F214" s="16"/>
      <c r="G214" s="16"/>
      <c r="H214" s="16"/>
      <c r="I214" s="16"/>
      <c r="J214" s="16"/>
      <c r="K214" s="16"/>
      <c r="L214" s="16"/>
      <c r="M214" s="16"/>
      <c r="AH214" s="187"/>
      <c r="AI214" s="187"/>
      <c r="AJ214" s="187"/>
      <c r="AK214" s="187"/>
      <c r="AL214" s="187"/>
      <c r="AM214" s="187"/>
      <c r="AN214" s="187"/>
      <c r="AO214" s="187"/>
      <c r="AP214" s="187"/>
      <c r="AQ214" s="187"/>
      <c r="AR214" s="187"/>
      <c r="AS214" s="187"/>
      <c r="AT214" s="224"/>
      <c r="AU214" s="224"/>
      <c r="AV214" s="224"/>
      <c r="AW214" s="224"/>
      <c r="AX214" s="224"/>
      <c r="AY214" s="224"/>
      <c r="AZ214" s="23"/>
      <c r="BA214" s="23"/>
      <c r="BB214"/>
      <c r="BC214"/>
      <c r="BD214"/>
    </row>
    <row r="215" spans="1:56" s="8" customFormat="1" x14ac:dyDescent="0.35">
      <c r="A215" s="16"/>
      <c r="B215" s="16"/>
      <c r="C215" s="16"/>
      <c r="D215" s="16"/>
      <c r="E215" s="16"/>
      <c r="F215" s="16"/>
      <c r="G215" s="16"/>
      <c r="H215" s="16"/>
      <c r="I215" s="16"/>
      <c r="J215" s="16"/>
      <c r="K215" s="16"/>
      <c r="L215" s="16"/>
      <c r="M215" s="16"/>
      <c r="AH215" s="187"/>
      <c r="AI215" s="187"/>
      <c r="AJ215" s="187"/>
      <c r="AK215" s="187"/>
      <c r="AL215" s="187"/>
      <c r="AM215" s="187"/>
      <c r="AN215" s="187"/>
      <c r="AO215" s="187"/>
      <c r="AP215" s="187"/>
      <c r="AQ215" s="187"/>
      <c r="AR215" s="187"/>
      <c r="AS215" s="187"/>
      <c r="AT215" s="224"/>
      <c r="AU215" s="224"/>
      <c r="AV215" s="224"/>
      <c r="AW215" s="224"/>
      <c r="AX215" s="224"/>
      <c r="AY215" s="224"/>
      <c r="AZ215" s="23"/>
      <c r="BA215" s="23"/>
      <c r="BB215"/>
      <c r="BC215"/>
      <c r="BD215"/>
    </row>
    <row r="216" spans="1:56" s="8" customFormat="1" x14ac:dyDescent="0.35">
      <c r="A216" s="16"/>
      <c r="B216" s="16"/>
      <c r="C216" s="16"/>
      <c r="D216" s="16"/>
      <c r="E216" s="16"/>
      <c r="F216" s="16"/>
      <c r="G216" s="16"/>
      <c r="H216" s="16"/>
      <c r="I216" s="16"/>
      <c r="J216" s="16"/>
      <c r="K216" s="16"/>
      <c r="L216" s="16"/>
      <c r="M216" s="16"/>
      <c r="AH216" s="187"/>
      <c r="AI216" s="187"/>
      <c r="AJ216" s="187"/>
      <c r="AK216" s="187"/>
      <c r="AL216" s="187"/>
      <c r="AM216" s="187"/>
      <c r="AN216" s="187"/>
      <c r="AO216" s="187"/>
      <c r="AP216" s="187"/>
      <c r="AQ216" s="187"/>
      <c r="AR216" s="187"/>
      <c r="AS216" s="187"/>
      <c r="AT216" s="224"/>
      <c r="AU216" s="224"/>
      <c r="AV216" s="224"/>
      <c r="AW216" s="224"/>
      <c r="AX216" s="224"/>
      <c r="AY216" s="224"/>
      <c r="AZ216" s="23"/>
      <c r="BA216" s="23"/>
      <c r="BB216"/>
      <c r="BC216"/>
      <c r="BD216"/>
    </row>
    <row r="217" spans="1:56" s="8" customFormat="1" x14ac:dyDescent="0.35">
      <c r="A217" s="16"/>
      <c r="B217" s="16"/>
      <c r="C217" s="16"/>
      <c r="D217" s="16"/>
      <c r="E217" s="16"/>
      <c r="F217" s="16"/>
      <c r="G217" s="16"/>
      <c r="H217" s="16"/>
      <c r="I217" s="16"/>
      <c r="J217" s="16"/>
      <c r="K217" s="16"/>
      <c r="L217" s="16"/>
      <c r="M217" s="16"/>
      <c r="AH217" s="187"/>
      <c r="AI217" s="187"/>
      <c r="AJ217" s="187"/>
      <c r="AK217" s="187"/>
      <c r="AL217" s="187"/>
      <c r="AM217" s="187"/>
      <c r="AN217" s="187"/>
      <c r="AO217" s="187"/>
      <c r="AP217" s="187"/>
      <c r="AQ217" s="187"/>
      <c r="AR217" s="187"/>
      <c r="AS217" s="187"/>
      <c r="AT217" s="224"/>
      <c r="AU217" s="224"/>
      <c r="AV217" s="224"/>
      <c r="AW217" s="224"/>
      <c r="AX217" s="224"/>
      <c r="AY217" s="224"/>
      <c r="AZ217" s="23"/>
      <c r="BA217" s="23"/>
      <c r="BB217"/>
      <c r="BC217"/>
      <c r="BD217"/>
    </row>
    <row r="218" spans="1:56" s="8" customFormat="1" x14ac:dyDescent="0.35">
      <c r="A218" s="16"/>
      <c r="B218" s="16"/>
      <c r="C218" s="16"/>
      <c r="D218" s="16"/>
      <c r="E218" s="16"/>
      <c r="F218" s="16"/>
      <c r="G218" s="16"/>
      <c r="H218" s="16"/>
      <c r="I218" s="16"/>
      <c r="J218" s="16"/>
      <c r="K218" s="16"/>
      <c r="L218" s="16"/>
      <c r="M218" s="16"/>
      <c r="AH218" s="187"/>
      <c r="AI218" s="187"/>
      <c r="AJ218" s="187"/>
      <c r="AK218" s="187"/>
      <c r="AL218" s="187"/>
      <c r="AM218" s="187"/>
      <c r="AN218" s="187"/>
      <c r="AO218" s="187"/>
      <c r="AP218" s="187"/>
      <c r="AQ218" s="187"/>
      <c r="AR218" s="187"/>
      <c r="AS218" s="187"/>
      <c r="AT218" s="224"/>
      <c r="AU218" s="224"/>
      <c r="AV218" s="224"/>
      <c r="AW218" s="224"/>
      <c r="AX218" s="224"/>
      <c r="AY218" s="224"/>
      <c r="AZ218" s="23"/>
      <c r="BA218" s="23"/>
      <c r="BB218"/>
      <c r="BC218"/>
      <c r="BD218"/>
    </row>
    <row r="219" spans="1:56" s="8" customFormat="1" x14ac:dyDescent="0.35">
      <c r="A219" s="16"/>
      <c r="B219" s="16"/>
      <c r="C219" s="16"/>
      <c r="D219" s="16"/>
      <c r="E219" s="16"/>
      <c r="F219" s="16"/>
      <c r="G219" s="16"/>
      <c r="H219" s="16"/>
      <c r="I219" s="16"/>
      <c r="J219" s="16"/>
      <c r="K219" s="16"/>
      <c r="L219" s="16"/>
      <c r="M219" s="16"/>
      <c r="AH219" s="187"/>
      <c r="AI219" s="187"/>
      <c r="AJ219" s="187"/>
      <c r="AK219" s="187"/>
      <c r="AL219" s="187"/>
      <c r="AM219" s="187"/>
      <c r="AN219" s="187"/>
      <c r="AO219" s="187"/>
      <c r="AP219" s="187"/>
      <c r="AQ219" s="187"/>
      <c r="AR219" s="187"/>
      <c r="AS219" s="187"/>
      <c r="AT219" s="224"/>
      <c r="AU219" s="224"/>
      <c r="AV219" s="224"/>
      <c r="AW219" s="224"/>
      <c r="AX219" s="224"/>
      <c r="AY219" s="224"/>
      <c r="AZ219" s="23"/>
      <c r="BA219" s="23"/>
      <c r="BB219"/>
      <c r="BC219"/>
      <c r="BD219"/>
    </row>
    <row r="220" spans="1:56" s="8" customFormat="1" x14ac:dyDescent="0.35">
      <c r="A220" s="16"/>
      <c r="B220" s="16"/>
      <c r="C220" s="16"/>
      <c r="D220" s="16"/>
      <c r="E220" s="16"/>
      <c r="F220" s="16"/>
      <c r="G220" s="16"/>
      <c r="H220" s="16"/>
      <c r="I220" s="16"/>
      <c r="J220" s="16"/>
      <c r="K220" s="16"/>
      <c r="L220" s="16"/>
      <c r="M220" s="16"/>
      <c r="AH220" s="187"/>
      <c r="AI220" s="187"/>
      <c r="AJ220" s="187"/>
      <c r="AK220" s="187"/>
      <c r="AL220" s="187"/>
      <c r="AM220" s="187"/>
      <c r="AN220" s="187"/>
      <c r="AO220" s="187"/>
      <c r="AP220" s="187"/>
      <c r="AQ220" s="187"/>
      <c r="AR220" s="187"/>
      <c r="AS220" s="187"/>
      <c r="AT220" s="224"/>
      <c r="AU220" s="224"/>
      <c r="AV220" s="224"/>
      <c r="AW220" s="224"/>
      <c r="AX220" s="224"/>
      <c r="AY220" s="224"/>
      <c r="AZ220" s="23"/>
      <c r="BA220" s="23"/>
      <c r="BB220"/>
      <c r="BC220"/>
      <c r="BD220"/>
    </row>
    <row r="221" spans="1:56" s="8" customFormat="1" x14ac:dyDescent="0.35">
      <c r="A221" s="16"/>
      <c r="B221" s="16"/>
      <c r="C221" s="16"/>
      <c r="D221" s="16"/>
      <c r="E221" s="16"/>
      <c r="F221" s="16"/>
      <c r="G221" s="16"/>
      <c r="H221" s="16"/>
      <c r="I221" s="16"/>
      <c r="J221" s="16"/>
      <c r="K221" s="16"/>
      <c r="L221" s="16"/>
      <c r="M221" s="16"/>
      <c r="AH221" s="187"/>
      <c r="AI221" s="187"/>
      <c r="AJ221" s="187"/>
      <c r="AK221" s="187"/>
      <c r="AL221" s="187"/>
      <c r="AM221" s="187"/>
      <c r="AN221" s="187"/>
      <c r="AO221" s="187"/>
      <c r="AP221" s="187"/>
      <c r="AQ221" s="187"/>
      <c r="AR221" s="187"/>
      <c r="AS221" s="187"/>
      <c r="AT221" s="224"/>
      <c r="AU221" s="224"/>
      <c r="AV221" s="224"/>
      <c r="AW221" s="224"/>
      <c r="AX221" s="224"/>
      <c r="AY221" s="224"/>
      <c r="AZ221" s="23"/>
      <c r="BA221" s="23"/>
      <c r="BB221"/>
      <c r="BC221"/>
      <c r="BD221"/>
    </row>
    <row r="222" spans="1:56" s="8" customFormat="1" x14ac:dyDescent="0.35">
      <c r="A222" s="16"/>
      <c r="B222" s="16"/>
      <c r="C222" s="16"/>
      <c r="D222" s="16"/>
      <c r="E222" s="16"/>
      <c r="F222" s="16"/>
      <c r="G222" s="16"/>
      <c r="H222" s="16"/>
      <c r="I222" s="16"/>
      <c r="J222" s="16"/>
      <c r="K222" s="16"/>
      <c r="L222" s="16"/>
      <c r="M222" s="16"/>
      <c r="AH222" s="187"/>
      <c r="AI222" s="187"/>
      <c r="AJ222" s="187"/>
      <c r="AK222" s="187"/>
      <c r="AL222" s="187"/>
      <c r="AM222" s="187"/>
      <c r="AN222" s="187"/>
      <c r="AO222" s="187"/>
      <c r="AP222" s="187"/>
      <c r="AQ222" s="187"/>
      <c r="AR222" s="187"/>
      <c r="AS222" s="187"/>
      <c r="AT222" s="224"/>
      <c r="AU222" s="224"/>
      <c r="AV222" s="224"/>
      <c r="AW222" s="224"/>
      <c r="AX222" s="224"/>
      <c r="AY222" s="224"/>
      <c r="AZ222" s="23"/>
      <c r="BA222" s="23"/>
      <c r="BB222"/>
      <c r="BC222"/>
      <c r="BD222"/>
    </row>
    <row r="223" spans="1:56" s="8" customFormat="1" x14ac:dyDescent="0.35">
      <c r="A223" s="16"/>
      <c r="B223" s="16"/>
      <c r="C223" s="16"/>
      <c r="D223" s="16"/>
      <c r="E223" s="16"/>
      <c r="F223" s="16"/>
      <c r="G223" s="16"/>
      <c r="H223" s="16"/>
      <c r="I223" s="16"/>
      <c r="J223" s="16"/>
      <c r="K223" s="16"/>
      <c r="L223" s="16"/>
      <c r="M223" s="16"/>
      <c r="AH223" s="187"/>
      <c r="AI223" s="187"/>
      <c r="AJ223" s="187"/>
      <c r="AK223" s="187"/>
      <c r="AL223" s="187"/>
      <c r="AM223" s="187"/>
      <c r="AN223" s="187"/>
      <c r="AO223" s="187"/>
      <c r="AP223" s="187"/>
      <c r="AQ223" s="187"/>
      <c r="AR223" s="187"/>
      <c r="AS223" s="187"/>
      <c r="AT223" s="224"/>
      <c r="AU223" s="224"/>
      <c r="AV223" s="224"/>
      <c r="AW223" s="224"/>
      <c r="AX223" s="224"/>
      <c r="AY223" s="224"/>
      <c r="AZ223" s="23"/>
      <c r="BA223" s="23"/>
      <c r="BB223"/>
      <c r="BC223"/>
      <c r="BD223"/>
    </row>
    <row r="224" spans="1:56" s="8" customFormat="1" x14ac:dyDescent="0.35">
      <c r="A224" s="16"/>
      <c r="B224" s="16"/>
      <c r="C224" s="16"/>
      <c r="D224" s="16"/>
      <c r="E224" s="16"/>
      <c r="F224" s="16"/>
      <c r="G224" s="16"/>
      <c r="H224" s="16"/>
      <c r="I224" s="16"/>
      <c r="J224" s="16"/>
      <c r="K224" s="16"/>
      <c r="L224" s="16"/>
      <c r="M224" s="16"/>
      <c r="AH224" s="187"/>
      <c r="AI224" s="187"/>
      <c r="AJ224" s="187"/>
      <c r="AK224" s="187"/>
      <c r="AL224" s="187"/>
      <c r="AM224" s="187"/>
      <c r="AN224" s="187"/>
      <c r="AO224" s="187"/>
      <c r="AP224" s="187"/>
      <c r="AQ224" s="187"/>
      <c r="AR224" s="187"/>
      <c r="AS224" s="187"/>
      <c r="AT224" s="224"/>
      <c r="AU224" s="224"/>
      <c r="AV224" s="224"/>
      <c r="AW224" s="224"/>
      <c r="AX224" s="224"/>
      <c r="AY224" s="224"/>
      <c r="AZ224" s="23"/>
      <c r="BA224" s="23"/>
      <c r="BB224"/>
      <c r="BC224"/>
      <c r="BD224"/>
    </row>
    <row r="225" spans="1:56" s="8" customFormat="1" x14ac:dyDescent="0.35">
      <c r="A225" s="16"/>
      <c r="B225" s="16"/>
      <c r="C225" s="16"/>
      <c r="D225" s="16"/>
      <c r="E225" s="16"/>
      <c r="F225" s="16"/>
      <c r="G225" s="16"/>
      <c r="H225" s="16"/>
      <c r="I225" s="16"/>
      <c r="J225" s="16"/>
      <c r="K225" s="16"/>
      <c r="L225" s="16"/>
      <c r="M225" s="16"/>
      <c r="AH225" s="187"/>
      <c r="AI225" s="187"/>
      <c r="AJ225" s="187"/>
      <c r="AK225" s="187"/>
      <c r="AL225" s="187"/>
      <c r="AM225" s="187"/>
      <c r="AN225" s="187"/>
      <c r="AO225" s="187"/>
      <c r="AP225" s="187"/>
      <c r="AQ225" s="187"/>
      <c r="AR225" s="187"/>
      <c r="AS225" s="187"/>
      <c r="AT225" s="224"/>
      <c r="AU225" s="224"/>
      <c r="AV225" s="224"/>
      <c r="AW225" s="224"/>
      <c r="AX225" s="224"/>
      <c r="AY225" s="224"/>
      <c r="AZ225" s="23"/>
      <c r="BA225" s="23"/>
      <c r="BB225"/>
      <c r="BC225"/>
      <c r="BD225"/>
    </row>
    <row r="226" spans="1:56" s="8" customFormat="1" x14ac:dyDescent="0.35">
      <c r="A226" s="16"/>
      <c r="B226" s="16"/>
      <c r="C226" s="16"/>
      <c r="D226" s="16"/>
      <c r="E226" s="16"/>
      <c r="F226" s="16"/>
      <c r="G226" s="16"/>
      <c r="H226" s="16"/>
      <c r="I226" s="16"/>
      <c r="J226" s="16"/>
      <c r="K226" s="16"/>
      <c r="L226" s="16"/>
      <c r="M226" s="16"/>
      <c r="AH226" s="187"/>
      <c r="AI226" s="187"/>
      <c r="AJ226" s="187"/>
      <c r="AK226" s="187"/>
      <c r="AL226" s="187"/>
      <c r="AM226" s="187"/>
      <c r="AN226" s="187"/>
      <c r="AO226" s="187"/>
      <c r="AP226" s="187"/>
      <c r="AQ226" s="187"/>
      <c r="AR226" s="187"/>
      <c r="AS226" s="187"/>
      <c r="AT226" s="224"/>
      <c r="AU226" s="224"/>
      <c r="AV226" s="224"/>
      <c r="AW226" s="224"/>
      <c r="AX226" s="224"/>
      <c r="AY226" s="224"/>
      <c r="AZ226" s="23"/>
      <c r="BA226" s="23"/>
      <c r="BB226"/>
      <c r="BC226"/>
      <c r="BD226"/>
    </row>
    <row r="227" spans="1:56" s="8" customFormat="1" x14ac:dyDescent="0.35">
      <c r="A227" s="16"/>
      <c r="B227" s="16"/>
      <c r="C227" s="16"/>
      <c r="D227" s="16"/>
      <c r="E227" s="16"/>
      <c r="F227" s="16"/>
      <c r="G227" s="16"/>
      <c r="H227" s="16"/>
      <c r="I227" s="16"/>
      <c r="J227" s="16"/>
      <c r="K227" s="16"/>
      <c r="L227" s="16"/>
      <c r="M227" s="16"/>
      <c r="AH227" s="187"/>
      <c r="AI227" s="187"/>
      <c r="AJ227" s="187"/>
      <c r="AK227" s="187"/>
      <c r="AL227" s="187"/>
      <c r="AM227" s="187"/>
      <c r="AN227" s="187"/>
      <c r="AO227" s="187"/>
      <c r="AP227" s="187"/>
      <c r="AQ227" s="187"/>
      <c r="AR227" s="187"/>
      <c r="AS227" s="187"/>
      <c r="AT227" s="224"/>
      <c r="AU227" s="224"/>
      <c r="AV227" s="224"/>
      <c r="AW227" s="224"/>
      <c r="AX227" s="224"/>
      <c r="AY227" s="224"/>
      <c r="AZ227" s="23"/>
      <c r="BA227" s="23"/>
      <c r="BB227"/>
      <c r="BC227"/>
      <c r="BD227"/>
    </row>
    <row r="228" spans="1:56" s="8" customFormat="1" x14ac:dyDescent="0.35">
      <c r="A228" s="16"/>
      <c r="B228" s="16"/>
      <c r="C228" s="16"/>
      <c r="D228" s="16"/>
      <c r="E228" s="16"/>
      <c r="F228" s="16"/>
      <c r="G228" s="16"/>
      <c r="H228" s="16"/>
      <c r="I228" s="16"/>
      <c r="J228" s="16"/>
      <c r="K228" s="16"/>
      <c r="L228" s="16"/>
      <c r="M228" s="16"/>
      <c r="AH228" s="187"/>
      <c r="AI228" s="187"/>
      <c r="AJ228" s="187"/>
      <c r="AK228" s="187"/>
      <c r="AL228" s="187"/>
      <c r="AM228" s="187"/>
      <c r="AN228" s="187"/>
      <c r="AO228" s="187"/>
      <c r="AP228" s="187"/>
      <c r="AQ228" s="187"/>
      <c r="AR228" s="187"/>
      <c r="AS228" s="187"/>
      <c r="AT228" s="224"/>
      <c r="AU228" s="224"/>
      <c r="AV228" s="224"/>
      <c r="AW228" s="224"/>
      <c r="AX228" s="224"/>
      <c r="AY228" s="224"/>
      <c r="AZ228" s="23"/>
      <c r="BA228" s="23"/>
      <c r="BB228"/>
      <c r="BC228"/>
      <c r="BD228"/>
    </row>
    <row r="229" spans="1:56" s="8" customFormat="1" x14ac:dyDescent="0.35">
      <c r="A229" s="16"/>
      <c r="B229" s="16"/>
      <c r="C229" s="16"/>
      <c r="D229" s="16"/>
      <c r="E229" s="16"/>
      <c r="F229" s="16"/>
      <c r="G229" s="16"/>
      <c r="H229" s="16"/>
      <c r="I229" s="16"/>
      <c r="J229" s="16"/>
      <c r="K229" s="16"/>
      <c r="L229" s="16"/>
      <c r="M229" s="16"/>
      <c r="AH229" s="187"/>
      <c r="AI229" s="187"/>
      <c r="AJ229" s="187"/>
      <c r="AK229" s="187"/>
      <c r="AL229" s="187"/>
      <c r="AM229" s="187"/>
      <c r="AN229" s="187"/>
      <c r="AO229" s="187"/>
      <c r="AP229" s="187"/>
      <c r="AQ229" s="187"/>
      <c r="AR229" s="187"/>
      <c r="AS229" s="187"/>
      <c r="AT229" s="224"/>
      <c r="AU229" s="224"/>
      <c r="AV229" s="224"/>
      <c r="AW229" s="224"/>
      <c r="AX229" s="224"/>
      <c r="AY229" s="224"/>
      <c r="AZ229" s="23"/>
      <c r="BA229" s="23"/>
      <c r="BB229"/>
      <c r="BC229"/>
      <c r="BD229"/>
    </row>
    <row r="230" spans="1:56" s="8" customFormat="1" x14ac:dyDescent="0.35">
      <c r="A230" s="16"/>
      <c r="B230" s="16"/>
      <c r="C230" s="16"/>
      <c r="D230" s="16"/>
      <c r="E230" s="16"/>
      <c r="F230" s="16"/>
      <c r="G230" s="16"/>
      <c r="H230" s="16"/>
      <c r="I230" s="16"/>
      <c r="J230" s="16"/>
      <c r="K230" s="16"/>
      <c r="L230" s="16"/>
      <c r="M230" s="16"/>
      <c r="AH230" s="187"/>
      <c r="AI230" s="187"/>
      <c r="AJ230" s="187"/>
      <c r="AK230" s="187"/>
      <c r="AL230" s="187"/>
      <c r="AM230" s="187"/>
      <c r="AN230" s="187"/>
      <c r="AO230" s="187"/>
      <c r="AP230" s="187"/>
      <c r="AQ230" s="187"/>
      <c r="AR230" s="187"/>
      <c r="AS230" s="187"/>
      <c r="AT230" s="224"/>
      <c r="AU230" s="224"/>
      <c r="AV230" s="224"/>
      <c r="AW230" s="224"/>
      <c r="AX230" s="224"/>
      <c r="AY230" s="224"/>
      <c r="AZ230" s="23"/>
      <c r="BA230" s="23"/>
      <c r="BB230"/>
      <c r="BC230"/>
      <c r="BD230"/>
    </row>
    <row r="231" spans="1:56" s="8" customFormat="1" x14ac:dyDescent="0.35">
      <c r="A231" s="16"/>
      <c r="B231" s="16"/>
      <c r="C231" s="16"/>
      <c r="D231" s="16"/>
      <c r="E231" s="16"/>
      <c r="F231" s="16"/>
      <c r="G231" s="16"/>
      <c r="H231" s="16"/>
      <c r="I231" s="16"/>
      <c r="J231" s="16"/>
      <c r="K231" s="16"/>
      <c r="L231" s="16"/>
      <c r="M231" s="16"/>
      <c r="AH231" s="187"/>
      <c r="AI231" s="187"/>
      <c r="AJ231" s="187"/>
      <c r="AK231" s="187"/>
      <c r="AL231" s="187"/>
      <c r="AM231" s="187"/>
      <c r="AN231" s="187"/>
      <c r="AO231" s="187"/>
      <c r="AP231" s="187"/>
      <c r="AQ231" s="187"/>
      <c r="AR231" s="187"/>
      <c r="AS231" s="187"/>
      <c r="AT231" s="224"/>
      <c r="AU231" s="224"/>
      <c r="AV231" s="224"/>
      <c r="AW231" s="224"/>
      <c r="AX231" s="224"/>
      <c r="AY231" s="224"/>
      <c r="AZ231" s="23"/>
      <c r="BA231" s="23"/>
      <c r="BB231"/>
      <c r="BC231"/>
      <c r="BD231"/>
    </row>
    <row r="232" spans="1:56" s="8" customFormat="1" x14ac:dyDescent="0.35">
      <c r="A232" s="16"/>
      <c r="B232" s="16"/>
      <c r="C232" s="16"/>
      <c r="D232" s="16"/>
      <c r="E232" s="16"/>
      <c r="F232" s="16"/>
      <c r="G232" s="16"/>
      <c r="H232" s="16"/>
      <c r="I232" s="16"/>
      <c r="J232" s="16"/>
      <c r="K232" s="16"/>
      <c r="L232" s="16"/>
      <c r="M232" s="16"/>
      <c r="AH232" s="187"/>
      <c r="AI232" s="187"/>
      <c r="AJ232" s="187"/>
      <c r="AK232" s="187"/>
      <c r="AL232" s="187"/>
      <c r="AM232" s="187"/>
      <c r="AN232" s="187"/>
      <c r="AO232" s="187"/>
      <c r="AP232" s="187"/>
      <c r="AQ232" s="187"/>
      <c r="AR232" s="187"/>
      <c r="AS232" s="187"/>
      <c r="AT232" s="224"/>
      <c r="AU232" s="224"/>
      <c r="AV232" s="224"/>
      <c r="AW232" s="224"/>
      <c r="AX232" s="224"/>
      <c r="AY232" s="224"/>
      <c r="AZ232" s="23"/>
      <c r="BA232" s="23"/>
      <c r="BB232"/>
      <c r="BC232"/>
      <c r="BD232"/>
    </row>
    <row r="233" spans="1:56" s="8" customFormat="1" x14ac:dyDescent="0.35">
      <c r="A233" s="16"/>
      <c r="B233" s="16"/>
      <c r="C233" s="16"/>
      <c r="D233" s="16"/>
      <c r="E233" s="16"/>
      <c r="F233" s="16"/>
      <c r="G233" s="16"/>
      <c r="H233" s="16"/>
      <c r="I233" s="16"/>
      <c r="J233" s="16"/>
      <c r="K233" s="16"/>
      <c r="L233" s="16"/>
      <c r="M233" s="16"/>
      <c r="AH233" s="187"/>
      <c r="AI233" s="187"/>
      <c r="AJ233" s="187"/>
      <c r="AK233" s="187"/>
      <c r="AL233" s="187"/>
      <c r="AM233" s="187"/>
      <c r="AN233" s="187"/>
      <c r="AO233" s="187"/>
      <c r="AP233" s="187"/>
      <c r="AQ233" s="187"/>
      <c r="AR233" s="187"/>
      <c r="AS233" s="187"/>
      <c r="AT233" s="224"/>
      <c r="AU233" s="224"/>
      <c r="AV233" s="224"/>
      <c r="AW233" s="224"/>
      <c r="AX233" s="224"/>
      <c r="AY233" s="224"/>
      <c r="AZ233" s="23"/>
      <c r="BA233" s="23"/>
      <c r="BB233"/>
      <c r="BC233"/>
      <c r="BD233"/>
    </row>
    <row r="234" spans="1:56" s="8" customFormat="1" x14ac:dyDescent="0.35">
      <c r="A234" s="16"/>
      <c r="B234" s="16"/>
      <c r="C234" s="16"/>
      <c r="D234" s="16"/>
      <c r="E234" s="16"/>
      <c r="F234" s="16"/>
      <c r="G234" s="16"/>
      <c r="H234" s="16"/>
      <c r="I234" s="16"/>
      <c r="J234" s="16"/>
      <c r="K234" s="16"/>
      <c r="L234" s="16"/>
      <c r="M234" s="16"/>
      <c r="AH234" s="187"/>
      <c r="AI234" s="187"/>
      <c r="AJ234" s="187"/>
      <c r="AK234" s="187"/>
      <c r="AL234" s="187"/>
      <c r="AM234" s="187"/>
      <c r="AN234" s="187"/>
      <c r="AO234" s="187"/>
      <c r="AP234" s="187"/>
      <c r="AQ234" s="187"/>
      <c r="AR234" s="187"/>
      <c r="AS234" s="187"/>
      <c r="AT234" s="224"/>
      <c r="AU234" s="224"/>
      <c r="AV234" s="224"/>
      <c r="AW234" s="224"/>
      <c r="AX234" s="224"/>
      <c r="AY234" s="224"/>
      <c r="AZ234" s="23"/>
      <c r="BA234" s="23"/>
      <c r="BB234"/>
      <c r="BC234"/>
      <c r="BD234"/>
    </row>
    <row r="235" spans="1:56" s="8" customFormat="1" x14ac:dyDescent="0.35">
      <c r="A235" s="16"/>
      <c r="B235" s="16"/>
      <c r="C235" s="16"/>
      <c r="D235" s="16"/>
      <c r="E235" s="16"/>
      <c r="F235" s="16"/>
      <c r="G235" s="16"/>
      <c r="H235" s="16"/>
      <c r="I235" s="16"/>
      <c r="J235" s="16"/>
      <c r="K235" s="16"/>
      <c r="L235" s="16"/>
      <c r="M235" s="16"/>
      <c r="AH235" s="187"/>
      <c r="AI235" s="187"/>
      <c r="AJ235" s="187"/>
      <c r="AK235" s="187"/>
      <c r="AL235" s="187"/>
      <c r="AM235" s="187"/>
      <c r="AN235" s="187"/>
      <c r="AO235" s="187"/>
      <c r="AP235" s="187"/>
      <c r="AQ235" s="187"/>
      <c r="AR235" s="187"/>
      <c r="AS235" s="187"/>
      <c r="AT235" s="224"/>
      <c r="AU235" s="224"/>
      <c r="AV235" s="224"/>
      <c r="AW235" s="224"/>
      <c r="AX235" s="224"/>
      <c r="AY235" s="224"/>
      <c r="AZ235" s="23"/>
      <c r="BA235" s="23"/>
      <c r="BB235"/>
      <c r="BC235"/>
      <c r="BD235"/>
    </row>
    <row r="236" spans="1:56" s="8" customFormat="1" x14ac:dyDescent="0.35">
      <c r="A236" s="16"/>
      <c r="B236" s="16"/>
      <c r="C236" s="16"/>
      <c r="D236" s="16"/>
      <c r="E236" s="16"/>
      <c r="F236" s="16"/>
      <c r="G236" s="16"/>
      <c r="H236" s="16"/>
      <c r="I236" s="16"/>
      <c r="J236" s="16"/>
      <c r="K236" s="16"/>
      <c r="L236" s="16"/>
      <c r="M236" s="16"/>
      <c r="AH236" s="187"/>
      <c r="AI236" s="187"/>
      <c r="AJ236" s="187"/>
      <c r="AK236" s="187"/>
      <c r="AL236" s="187"/>
      <c r="AM236" s="187"/>
      <c r="AN236" s="187"/>
      <c r="AO236" s="187"/>
      <c r="AP236" s="187"/>
      <c r="AQ236" s="187"/>
      <c r="AR236" s="187"/>
      <c r="AS236" s="187"/>
      <c r="AT236" s="224"/>
      <c r="AU236" s="224"/>
      <c r="AV236" s="224"/>
      <c r="AW236" s="224"/>
      <c r="AX236" s="224"/>
      <c r="AY236" s="224"/>
      <c r="AZ236" s="23"/>
      <c r="BA236" s="23"/>
      <c r="BB236"/>
      <c r="BC236"/>
      <c r="BD236"/>
    </row>
    <row r="237" spans="1:56" s="8" customFormat="1" x14ac:dyDescent="0.35">
      <c r="A237" s="16"/>
      <c r="B237" s="16"/>
      <c r="C237" s="16"/>
      <c r="D237" s="16"/>
      <c r="E237" s="16"/>
      <c r="F237" s="16"/>
      <c r="G237" s="16"/>
      <c r="H237" s="16"/>
      <c r="I237" s="16"/>
      <c r="J237" s="16"/>
      <c r="K237" s="16"/>
      <c r="L237" s="16"/>
      <c r="M237" s="16"/>
      <c r="AH237" s="187"/>
      <c r="AI237" s="187"/>
      <c r="AJ237" s="187"/>
      <c r="AK237" s="187"/>
      <c r="AL237" s="187"/>
      <c r="AM237" s="187"/>
      <c r="AN237" s="187"/>
      <c r="AO237" s="187"/>
      <c r="AP237" s="187"/>
      <c r="AQ237" s="187"/>
      <c r="AR237" s="187"/>
      <c r="AS237" s="187"/>
      <c r="AT237" s="224"/>
      <c r="AU237" s="224"/>
      <c r="AV237" s="224"/>
      <c r="AW237" s="224"/>
      <c r="AX237" s="224"/>
      <c r="AY237" s="224"/>
      <c r="AZ237" s="23"/>
      <c r="BA237" s="23"/>
      <c r="BB237"/>
      <c r="BC237"/>
      <c r="BD237"/>
    </row>
    <row r="238" spans="1:56" s="8" customFormat="1" x14ac:dyDescent="0.35">
      <c r="A238" s="16"/>
      <c r="B238" s="16"/>
      <c r="C238" s="16"/>
      <c r="D238" s="16"/>
      <c r="E238" s="16"/>
      <c r="F238" s="16"/>
      <c r="G238" s="16"/>
      <c r="H238" s="16"/>
      <c r="I238" s="16"/>
      <c r="J238" s="16"/>
      <c r="K238" s="16"/>
      <c r="L238" s="16"/>
      <c r="M238" s="16"/>
      <c r="AH238" s="187"/>
      <c r="AI238" s="187"/>
      <c r="AJ238" s="187"/>
      <c r="AK238" s="187"/>
      <c r="AL238" s="187"/>
      <c r="AM238" s="187"/>
      <c r="AN238" s="187"/>
      <c r="AO238" s="187"/>
      <c r="AP238" s="187"/>
      <c r="AQ238" s="187"/>
      <c r="AR238" s="187"/>
      <c r="AS238" s="187"/>
      <c r="AT238" s="224"/>
      <c r="AU238" s="224"/>
      <c r="AV238" s="224"/>
      <c r="AW238" s="224"/>
      <c r="AX238" s="224"/>
      <c r="AY238" s="224"/>
      <c r="AZ238" s="23"/>
      <c r="BA238" s="23"/>
      <c r="BB238"/>
      <c r="BC238"/>
      <c r="BD238"/>
    </row>
    <row r="239" spans="1:56" s="8" customFormat="1" x14ac:dyDescent="0.35">
      <c r="A239" s="16"/>
      <c r="B239" s="16"/>
      <c r="C239" s="16"/>
      <c r="D239" s="16"/>
      <c r="E239" s="16"/>
      <c r="F239" s="16"/>
      <c r="G239" s="16"/>
      <c r="H239" s="16"/>
      <c r="I239" s="16"/>
      <c r="J239" s="16"/>
      <c r="K239" s="16"/>
      <c r="L239" s="16"/>
      <c r="M239" s="16"/>
      <c r="AH239" s="187"/>
      <c r="AI239" s="187"/>
      <c r="AJ239" s="187"/>
      <c r="AK239" s="187"/>
      <c r="AL239" s="187"/>
      <c r="AM239" s="187"/>
      <c r="AN239" s="187"/>
      <c r="AO239" s="187"/>
      <c r="AP239" s="187"/>
      <c r="AQ239" s="187"/>
      <c r="AR239" s="187"/>
      <c r="AS239" s="187"/>
      <c r="AT239" s="224"/>
      <c r="AU239" s="224"/>
      <c r="AV239" s="224"/>
      <c r="AW239" s="224"/>
      <c r="AX239" s="224"/>
      <c r="AY239" s="224"/>
      <c r="AZ239" s="23"/>
      <c r="BA239" s="23"/>
      <c r="BB239"/>
      <c r="BC239"/>
      <c r="BD239"/>
    </row>
    <row r="240" spans="1:56" s="8" customFormat="1" x14ac:dyDescent="0.35">
      <c r="A240" s="16"/>
      <c r="B240" s="16"/>
      <c r="C240" s="16"/>
      <c r="D240" s="16"/>
      <c r="E240" s="16"/>
      <c r="F240" s="16"/>
      <c r="G240" s="16"/>
      <c r="H240" s="16"/>
      <c r="I240" s="16"/>
      <c r="J240" s="16"/>
      <c r="K240" s="16"/>
      <c r="L240" s="16"/>
      <c r="M240" s="16"/>
      <c r="AH240" s="187"/>
      <c r="AI240" s="187"/>
      <c r="AJ240" s="187"/>
      <c r="AK240" s="187"/>
      <c r="AL240" s="187"/>
      <c r="AM240" s="187"/>
      <c r="AN240" s="187"/>
      <c r="AO240" s="187"/>
      <c r="AP240" s="187"/>
      <c r="AQ240" s="187"/>
      <c r="AR240" s="187"/>
      <c r="AS240" s="187"/>
      <c r="AT240" s="224"/>
      <c r="AU240" s="224"/>
      <c r="AV240" s="224"/>
      <c r="AW240" s="224"/>
      <c r="AX240" s="224"/>
      <c r="AY240" s="224"/>
      <c r="AZ240" s="23"/>
      <c r="BA240" s="23"/>
      <c r="BB240"/>
      <c r="BC240"/>
      <c r="BD240"/>
    </row>
    <row r="241" spans="1:56" s="8" customFormat="1" x14ac:dyDescent="0.35">
      <c r="A241" s="16"/>
      <c r="B241" s="16"/>
      <c r="C241" s="16"/>
      <c r="D241" s="16"/>
      <c r="E241" s="16"/>
      <c r="F241" s="16"/>
      <c r="G241" s="16"/>
      <c r="H241" s="16"/>
      <c r="I241" s="16"/>
      <c r="J241" s="16"/>
      <c r="K241" s="16"/>
      <c r="L241" s="16"/>
      <c r="M241" s="16"/>
      <c r="AH241" s="187"/>
      <c r="AI241" s="187"/>
      <c r="AJ241" s="187"/>
      <c r="AK241" s="187"/>
      <c r="AL241" s="187"/>
      <c r="AM241" s="187"/>
      <c r="AN241" s="187"/>
      <c r="AO241" s="187"/>
      <c r="AP241" s="187"/>
      <c r="AQ241" s="187"/>
      <c r="AR241" s="187"/>
      <c r="AS241" s="187"/>
      <c r="AT241" s="224"/>
      <c r="AU241" s="224"/>
      <c r="AV241" s="224"/>
      <c r="AW241" s="224"/>
      <c r="AX241" s="224"/>
      <c r="AY241" s="224"/>
      <c r="AZ241" s="23"/>
      <c r="BA241" s="23"/>
      <c r="BB241"/>
      <c r="BC241"/>
      <c r="BD241"/>
    </row>
    <row r="242" spans="1:56" s="8" customFormat="1" x14ac:dyDescent="0.35">
      <c r="A242" s="16"/>
      <c r="B242" s="16"/>
      <c r="C242" s="16"/>
      <c r="D242" s="16"/>
      <c r="E242" s="16"/>
      <c r="F242" s="16"/>
      <c r="G242" s="16"/>
      <c r="H242" s="16"/>
      <c r="I242" s="16"/>
      <c r="J242" s="16"/>
      <c r="K242" s="16"/>
      <c r="L242" s="16"/>
      <c r="M242" s="16"/>
      <c r="AH242" s="187"/>
      <c r="AI242" s="187"/>
      <c r="AJ242" s="187"/>
      <c r="AK242" s="187"/>
      <c r="AL242" s="187"/>
      <c r="AM242" s="187"/>
      <c r="AN242" s="187"/>
      <c r="AO242" s="187"/>
      <c r="AP242" s="187"/>
      <c r="AQ242" s="187"/>
      <c r="AR242" s="187"/>
      <c r="AS242" s="187"/>
      <c r="AT242" s="224"/>
      <c r="AU242" s="224"/>
      <c r="AV242" s="224"/>
      <c r="AW242" s="224"/>
      <c r="AX242" s="224"/>
      <c r="AY242" s="224"/>
      <c r="AZ242" s="23"/>
      <c r="BA242" s="23"/>
      <c r="BB242"/>
      <c r="BC242"/>
      <c r="BD242"/>
    </row>
    <row r="243" spans="1:56" s="8" customFormat="1" x14ac:dyDescent="0.35">
      <c r="A243" s="16"/>
      <c r="B243" s="16"/>
      <c r="C243" s="16"/>
      <c r="D243" s="16"/>
      <c r="E243" s="16"/>
      <c r="F243" s="16"/>
      <c r="G243" s="16"/>
      <c r="H243" s="16"/>
      <c r="I243" s="16"/>
      <c r="J243" s="16"/>
      <c r="K243" s="16"/>
      <c r="L243" s="16"/>
      <c r="M243" s="16"/>
      <c r="AH243" s="187"/>
      <c r="AI243" s="187"/>
      <c r="AJ243" s="187"/>
      <c r="AK243" s="187"/>
      <c r="AL243" s="187"/>
      <c r="AM243" s="187"/>
      <c r="AN243" s="187"/>
      <c r="AO243" s="187"/>
      <c r="AP243" s="187"/>
      <c r="AQ243" s="187"/>
      <c r="AR243" s="187"/>
      <c r="AS243" s="187"/>
      <c r="AT243" s="224"/>
      <c r="AU243" s="224"/>
      <c r="AV243" s="224"/>
      <c r="AW243" s="224"/>
      <c r="AX243" s="224"/>
      <c r="AY243" s="224"/>
      <c r="AZ243" s="23"/>
      <c r="BA243" s="23"/>
      <c r="BB243"/>
      <c r="BC243"/>
      <c r="BD243"/>
    </row>
    <row r="244" spans="1:56" s="8" customFormat="1" x14ac:dyDescent="0.35">
      <c r="A244" s="16"/>
      <c r="B244" s="16"/>
      <c r="C244" s="16"/>
      <c r="D244" s="16"/>
      <c r="E244" s="16"/>
      <c r="F244" s="16"/>
      <c r="G244" s="16"/>
      <c r="H244" s="16"/>
      <c r="I244" s="16"/>
      <c r="J244" s="16"/>
      <c r="K244" s="16"/>
      <c r="L244" s="16"/>
      <c r="M244" s="16"/>
      <c r="AH244" s="187"/>
      <c r="AI244" s="187"/>
      <c r="AJ244" s="187"/>
      <c r="AK244" s="187"/>
      <c r="AL244" s="187"/>
      <c r="AM244" s="187"/>
      <c r="AN244" s="187"/>
      <c r="AO244" s="187"/>
      <c r="AP244" s="187"/>
      <c r="AQ244" s="187"/>
      <c r="AR244" s="187"/>
      <c r="AS244" s="187"/>
      <c r="AT244" s="224"/>
      <c r="AU244" s="224"/>
      <c r="AV244" s="224"/>
      <c r="AW244" s="224"/>
      <c r="AX244" s="224"/>
      <c r="AY244" s="224"/>
      <c r="AZ244" s="23"/>
      <c r="BA244" s="23"/>
      <c r="BB244"/>
      <c r="BC244"/>
      <c r="BD244"/>
    </row>
    <row r="245" spans="1:56" s="8" customFormat="1" x14ac:dyDescent="0.35">
      <c r="A245" s="16"/>
      <c r="B245" s="16"/>
      <c r="C245" s="16"/>
      <c r="D245" s="16"/>
      <c r="E245" s="16"/>
      <c r="F245" s="16"/>
      <c r="G245" s="16"/>
      <c r="H245" s="16"/>
      <c r="I245" s="16"/>
      <c r="J245" s="16"/>
      <c r="K245" s="16"/>
      <c r="L245" s="16"/>
      <c r="M245" s="16"/>
      <c r="AH245" s="187"/>
      <c r="AI245" s="187"/>
      <c r="AJ245" s="187"/>
      <c r="AK245" s="187"/>
      <c r="AL245" s="187"/>
      <c r="AM245" s="187"/>
      <c r="AN245" s="187"/>
      <c r="AO245" s="187"/>
      <c r="AP245" s="187"/>
      <c r="AQ245" s="187"/>
      <c r="AR245" s="187"/>
      <c r="AS245" s="187"/>
      <c r="AT245" s="224"/>
      <c r="AU245" s="224"/>
      <c r="AV245" s="224"/>
      <c r="AW245" s="224"/>
      <c r="AX245" s="224"/>
      <c r="AY245" s="224"/>
      <c r="AZ245" s="23"/>
      <c r="BA245" s="23"/>
      <c r="BB245"/>
      <c r="BC245"/>
      <c r="BD245"/>
    </row>
    <row r="246" spans="1:56" s="8" customFormat="1" x14ac:dyDescent="0.35">
      <c r="A246" s="16"/>
      <c r="B246" s="16"/>
      <c r="C246" s="16"/>
      <c r="D246" s="16"/>
      <c r="E246" s="16"/>
      <c r="F246" s="16"/>
      <c r="G246" s="16"/>
      <c r="H246" s="16"/>
      <c r="I246" s="16"/>
      <c r="J246" s="16"/>
      <c r="K246" s="16"/>
      <c r="L246" s="16"/>
      <c r="M246" s="16"/>
      <c r="AH246" s="187"/>
      <c r="AI246" s="187"/>
      <c r="AJ246" s="187"/>
      <c r="AK246" s="187"/>
      <c r="AL246" s="187"/>
      <c r="AM246" s="187"/>
      <c r="AN246" s="187"/>
      <c r="AO246" s="187"/>
      <c r="AP246" s="187"/>
      <c r="AQ246" s="187"/>
      <c r="AR246" s="187"/>
      <c r="AS246" s="187"/>
      <c r="AT246" s="224"/>
      <c r="AU246" s="224"/>
      <c r="AV246" s="224"/>
      <c r="AW246" s="224"/>
      <c r="AX246" s="224"/>
      <c r="AY246" s="224"/>
      <c r="AZ246" s="23"/>
      <c r="BA246" s="23"/>
      <c r="BB246"/>
      <c r="BC246"/>
      <c r="BD246"/>
    </row>
    <row r="247" spans="1:56" s="8" customFormat="1" x14ac:dyDescent="0.35">
      <c r="A247" s="16"/>
      <c r="B247" s="16"/>
      <c r="C247" s="16"/>
      <c r="D247" s="16"/>
      <c r="E247" s="16"/>
      <c r="F247" s="16"/>
      <c r="G247" s="16"/>
      <c r="H247" s="16"/>
      <c r="I247" s="16"/>
      <c r="J247" s="16"/>
      <c r="K247" s="16"/>
      <c r="L247" s="16"/>
      <c r="M247" s="16"/>
      <c r="AH247" s="187"/>
      <c r="AI247" s="187"/>
      <c r="AJ247" s="187"/>
      <c r="AK247" s="187"/>
      <c r="AL247" s="187"/>
      <c r="AM247" s="187"/>
      <c r="AN247" s="187"/>
      <c r="AO247" s="187"/>
      <c r="AP247" s="187"/>
      <c r="AQ247" s="187"/>
      <c r="AR247" s="187"/>
      <c r="AS247" s="187"/>
      <c r="AT247" s="224"/>
      <c r="AU247" s="224"/>
      <c r="AV247" s="224"/>
      <c r="AW247" s="224"/>
      <c r="AX247" s="224"/>
      <c r="AY247" s="224"/>
      <c r="AZ247" s="23"/>
      <c r="BA247" s="23"/>
      <c r="BB247"/>
      <c r="BC247"/>
      <c r="BD247"/>
    </row>
    <row r="248" spans="1:56" s="8" customFormat="1" x14ac:dyDescent="0.35">
      <c r="A248" s="16"/>
      <c r="B248" s="16"/>
      <c r="C248" s="16"/>
      <c r="D248" s="16"/>
      <c r="E248" s="16"/>
      <c r="F248" s="16"/>
      <c r="G248" s="16"/>
      <c r="H248" s="16"/>
      <c r="I248" s="16"/>
      <c r="J248" s="16"/>
      <c r="K248" s="16"/>
      <c r="L248" s="16"/>
      <c r="M248" s="16"/>
      <c r="AH248" s="187"/>
      <c r="AI248" s="187"/>
      <c r="AJ248" s="187"/>
      <c r="AK248" s="187"/>
      <c r="AL248" s="187"/>
      <c r="AM248" s="187"/>
      <c r="AN248" s="187"/>
      <c r="AO248" s="187"/>
      <c r="AP248" s="187"/>
      <c r="AQ248" s="187"/>
      <c r="AR248" s="187"/>
      <c r="AS248" s="187"/>
      <c r="AT248" s="224"/>
      <c r="AU248" s="224"/>
      <c r="AV248" s="224"/>
      <c r="AW248" s="224"/>
      <c r="AX248" s="224"/>
      <c r="AY248" s="224"/>
      <c r="AZ248" s="23"/>
      <c r="BA248" s="23"/>
      <c r="BB248"/>
      <c r="BC248"/>
      <c r="BD248"/>
    </row>
    <row r="249" spans="1:56" s="8" customFormat="1" x14ac:dyDescent="0.35">
      <c r="A249" s="16"/>
      <c r="B249" s="16"/>
      <c r="C249" s="16"/>
      <c r="D249" s="16"/>
      <c r="E249" s="16"/>
      <c r="F249" s="16"/>
      <c r="G249" s="16"/>
      <c r="H249" s="16"/>
      <c r="I249" s="16"/>
      <c r="J249" s="16"/>
      <c r="K249" s="16"/>
      <c r="L249" s="16"/>
      <c r="M249" s="16"/>
      <c r="AH249" s="187"/>
      <c r="AI249" s="187"/>
      <c r="AJ249" s="187"/>
      <c r="AK249" s="187"/>
      <c r="AL249" s="187"/>
      <c r="AM249" s="187"/>
      <c r="AN249" s="187"/>
      <c r="AO249" s="187"/>
      <c r="AP249" s="187"/>
      <c r="AQ249" s="187"/>
      <c r="AR249" s="187"/>
      <c r="AS249" s="187"/>
      <c r="AT249" s="224"/>
      <c r="AU249" s="224"/>
      <c r="AV249" s="224"/>
      <c r="AW249" s="224"/>
      <c r="AX249" s="224"/>
      <c r="AY249" s="224"/>
      <c r="AZ249" s="23"/>
      <c r="BA249" s="23"/>
      <c r="BB249"/>
      <c r="BC249"/>
      <c r="BD249"/>
    </row>
    <row r="250" spans="1:56" s="8" customFormat="1" x14ac:dyDescent="0.35">
      <c r="A250" s="16"/>
      <c r="B250" s="16"/>
      <c r="C250" s="16"/>
      <c r="D250" s="16"/>
      <c r="E250" s="16"/>
      <c r="F250" s="16"/>
      <c r="G250" s="16"/>
      <c r="H250" s="16"/>
      <c r="I250" s="16"/>
      <c r="J250" s="16"/>
      <c r="K250" s="16"/>
      <c r="L250" s="16"/>
      <c r="M250" s="16"/>
      <c r="AH250" s="187"/>
      <c r="AI250" s="187"/>
      <c r="AJ250" s="187"/>
      <c r="AK250" s="187"/>
      <c r="AL250" s="187"/>
      <c r="AM250" s="187"/>
      <c r="AN250" s="187"/>
      <c r="AO250" s="187"/>
      <c r="AP250" s="187"/>
      <c r="AQ250" s="187"/>
      <c r="AR250" s="187"/>
      <c r="AS250" s="187"/>
      <c r="AT250" s="224"/>
      <c r="AU250" s="224"/>
      <c r="AV250" s="224"/>
      <c r="AW250" s="224"/>
      <c r="AX250" s="224"/>
      <c r="AY250" s="224"/>
      <c r="AZ250" s="23"/>
      <c r="BA250" s="23"/>
      <c r="BB250"/>
      <c r="BC250"/>
      <c r="BD250"/>
    </row>
    <row r="251" spans="1:56" s="8" customFormat="1" x14ac:dyDescent="0.35">
      <c r="A251" s="16"/>
      <c r="B251" s="16"/>
      <c r="C251" s="16"/>
      <c r="D251" s="16"/>
      <c r="E251" s="16"/>
      <c r="F251" s="16"/>
      <c r="G251" s="16"/>
      <c r="H251" s="16"/>
      <c r="I251" s="16"/>
      <c r="J251" s="16"/>
      <c r="K251" s="16"/>
      <c r="L251" s="16"/>
      <c r="M251" s="16"/>
      <c r="AH251" s="187"/>
      <c r="AI251" s="187"/>
      <c r="AJ251" s="187"/>
      <c r="AK251" s="187"/>
      <c r="AL251" s="187"/>
      <c r="AM251" s="187"/>
      <c r="AN251" s="187"/>
      <c r="AO251" s="187"/>
      <c r="AP251" s="187"/>
      <c r="AQ251" s="187"/>
      <c r="AR251" s="187"/>
      <c r="AS251" s="187"/>
      <c r="AT251" s="224"/>
      <c r="AU251" s="224"/>
      <c r="AV251" s="224"/>
      <c r="AW251" s="224"/>
      <c r="AX251" s="224"/>
      <c r="AY251" s="224"/>
      <c r="AZ251" s="23"/>
      <c r="BA251" s="23"/>
      <c r="BB251"/>
      <c r="BC251"/>
      <c r="BD251"/>
    </row>
    <row r="252" spans="1:56" s="8" customFormat="1" x14ac:dyDescent="0.35">
      <c r="A252" s="16"/>
      <c r="B252" s="16"/>
      <c r="C252" s="16"/>
      <c r="D252" s="16"/>
      <c r="E252" s="16"/>
      <c r="F252" s="16"/>
      <c r="G252" s="16"/>
      <c r="H252" s="16"/>
      <c r="I252" s="16"/>
      <c r="J252" s="16"/>
      <c r="K252" s="16"/>
      <c r="L252" s="16"/>
      <c r="M252" s="16"/>
      <c r="AH252" s="187"/>
      <c r="AI252" s="187"/>
      <c r="AJ252" s="187"/>
      <c r="AK252" s="187"/>
      <c r="AL252" s="187"/>
      <c r="AM252" s="187"/>
      <c r="AN252" s="187"/>
      <c r="AO252" s="187"/>
      <c r="AP252" s="187"/>
      <c r="AQ252" s="187"/>
      <c r="AR252" s="187"/>
      <c r="AS252" s="187"/>
      <c r="AT252" s="224"/>
      <c r="AU252" s="224"/>
      <c r="AV252" s="224"/>
      <c r="AW252" s="224"/>
      <c r="AX252" s="224"/>
      <c r="AY252" s="224"/>
      <c r="AZ252" s="23"/>
      <c r="BA252" s="23"/>
      <c r="BB252"/>
      <c r="BC252"/>
      <c r="BD252"/>
    </row>
    <row r="253" spans="1:56" s="8" customFormat="1" x14ac:dyDescent="0.35">
      <c r="A253" s="16"/>
      <c r="B253" s="16"/>
      <c r="C253" s="16"/>
      <c r="D253" s="16"/>
      <c r="E253" s="16"/>
      <c r="F253" s="16"/>
      <c r="G253" s="16"/>
      <c r="H253" s="16"/>
      <c r="I253" s="16"/>
      <c r="J253" s="16"/>
      <c r="K253" s="16"/>
      <c r="L253" s="16"/>
      <c r="M253" s="16"/>
      <c r="AH253" s="187"/>
      <c r="AI253" s="187"/>
      <c r="AJ253" s="187"/>
      <c r="AK253" s="187"/>
      <c r="AL253" s="187"/>
      <c r="AM253" s="187"/>
      <c r="AN253" s="187"/>
      <c r="AO253" s="187"/>
      <c r="AP253" s="187"/>
      <c r="AQ253" s="187"/>
      <c r="AR253" s="187"/>
      <c r="AS253" s="187"/>
      <c r="AT253" s="224"/>
      <c r="AU253" s="224"/>
      <c r="AV253" s="224"/>
      <c r="AW253" s="224"/>
      <c r="AX253" s="224"/>
      <c r="AY253" s="224"/>
      <c r="AZ253" s="23"/>
      <c r="BA253" s="23"/>
      <c r="BB253"/>
      <c r="BC253"/>
      <c r="BD253"/>
    </row>
    <row r="254" spans="1:56" s="8" customFormat="1" x14ac:dyDescent="0.35">
      <c r="A254" s="16"/>
      <c r="B254" s="16"/>
      <c r="C254" s="16"/>
      <c r="D254" s="16"/>
      <c r="E254" s="16"/>
      <c r="F254" s="16"/>
      <c r="G254" s="16"/>
      <c r="H254" s="16"/>
      <c r="I254" s="16"/>
      <c r="J254" s="16"/>
      <c r="K254" s="16"/>
      <c r="L254" s="16"/>
      <c r="M254" s="16"/>
      <c r="AH254" s="187"/>
      <c r="AI254" s="187"/>
      <c r="AJ254" s="187"/>
      <c r="AK254" s="187"/>
      <c r="AL254" s="187"/>
      <c r="AM254" s="187"/>
      <c r="AN254" s="187"/>
      <c r="AO254" s="187"/>
      <c r="AP254" s="187"/>
      <c r="AQ254" s="187"/>
      <c r="AR254" s="187"/>
      <c r="AS254" s="187"/>
      <c r="AT254" s="224"/>
      <c r="AU254" s="224"/>
      <c r="AV254" s="224"/>
      <c r="AW254" s="224"/>
      <c r="AX254" s="224"/>
      <c r="AY254" s="224"/>
      <c r="AZ254" s="23"/>
      <c r="BA254" s="23"/>
      <c r="BB254"/>
      <c r="BC254"/>
      <c r="BD254"/>
    </row>
    <row r="255" spans="1:56" s="8" customFormat="1" x14ac:dyDescent="0.35">
      <c r="A255" s="16"/>
      <c r="B255" s="16"/>
      <c r="C255" s="16"/>
      <c r="D255" s="16"/>
      <c r="E255" s="16"/>
      <c r="F255" s="16"/>
      <c r="G255" s="16"/>
      <c r="H255" s="16"/>
      <c r="I255" s="16"/>
      <c r="J255" s="16"/>
      <c r="K255" s="16"/>
      <c r="L255" s="16"/>
      <c r="M255" s="16"/>
      <c r="AH255" s="187"/>
      <c r="AI255" s="187"/>
      <c r="AJ255" s="187"/>
      <c r="AK255" s="187"/>
      <c r="AL255" s="187"/>
      <c r="AM255" s="187"/>
      <c r="AN255" s="187"/>
      <c r="AO255" s="187"/>
      <c r="AP255" s="187"/>
      <c r="AQ255" s="187"/>
      <c r="AR255" s="187"/>
      <c r="AS255" s="187"/>
      <c r="AT255" s="224"/>
      <c r="AU255" s="224"/>
      <c r="AV255" s="224"/>
      <c r="AW255" s="224"/>
      <c r="AX255" s="224"/>
      <c r="AY255" s="224"/>
      <c r="AZ255" s="23"/>
      <c r="BA255" s="23"/>
      <c r="BB255"/>
      <c r="BC255"/>
      <c r="BD255"/>
    </row>
    <row r="256" spans="1:56" s="8" customFormat="1" x14ac:dyDescent="0.35">
      <c r="A256" s="16"/>
      <c r="B256" s="16"/>
      <c r="C256" s="16"/>
      <c r="D256" s="16"/>
      <c r="E256" s="16"/>
      <c r="F256" s="16"/>
      <c r="G256" s="16"/>
      <c r="H256" s="16"/>
      <c r="I256" s="16"/>
      <c r="J256" s="16"/>
      <c r="K256" s="16"/>
      <c r="L256" s="16"/>
      <c r="M256" s="16"/>
      <c r="AH256" s="187"/>
      <c r="AI256" s="187"/>
      <c r="AJ256" s="187"/>
      <c r="AK256" s="187"/>
      <c r="AL256" s="187"/>
      <c r="AM256" s="187"/>
      <c r="AN256" s="187"/>
      <c r="AO256" s="187"/>
      <c r="AP256" s="187"/>
      <c r="AQ256" s="187"/>
      <c r="AR256" s="187"/>
      <c r="AS256" s="187"/>
      <c r="AT256" s="224"/>
      <c r="AU256" s="224"/>
      <c r="AV256" s="224"/>
      <c r="AW256" s="224"/>
      <c r="AX256" s="224"/>
      <c r="AY256" s="224"/>
      <c r="AZ256" s="23"/>
      <c r="BA256" s="23"/>
      <c r="BB256"/>
      <c r="BC256"/>
      <c r="BD256"/>
    </row>
    <row r="257" spans="1:56" s="8" customFormat="1" x14ac:dyDescent="0.35">
      <c r="A257" s="16"/>
      <c r="B257" s="16"/>
      <c r="C257" s="16"/>
      <c r="D257" s="16"/>
      <c r="E257" s="16"/>
      <c r="F257" s="16"/>
      <c r="G257" s="16"/>
      <c r="H257" s="16"/>
      <c r="I257" s="16"/>
      <c r="J257" s="16"/>
      <c r="K257" s="16"/>
      <c r="L257" s="16"/>
      <c r="M257" s="16"/>
      <c r="AH257" s="187"/>
      <c r="AI257" s="187"/>
      <c r="AJ257" s="187"/>
      <c r="AK257" s="187"/>
      <c r="AL257" s="187"/>
      <c r="AM257" s="187"/>
      <c r="AN257" s="187"/>
      <c r="AO257" s="187"/>
      <c r="AP257" s="187"/>
      <c r="AQ257" s="187"/>
      <c r="AR257" s="187"/>
      <c r="AS257" s="187"/>
      <c r="AT257" s="224"/>
      <c r="AU257" s="224"/>
      <c r="AV257" s="224"/>
      <c r="AW257" s="224"/>
      <c r="AX257" s="224"/>
      <c r="AY257" s="224"/>
      <c r="AZ257" s="23"/>
      <c r="BA257" s="23"/>
      <c r="BB257"/>
      <c r="BC257"/>
      <c r="BD257"/>
    </row>
    <row r="258" spans="1:56" s="8" customFormat="1" x14ac:dyDescent="0.35">
      <c r="A258" s="16"/>
      <c r="B258" s="16"/>
      <c r="C258" s="16"/>
      <c r="D258" s="16"/>
      <c r="E258" s="16"/>
      <c r="F258" s="16"/>
      <c r="G258" s="16"/>
      <c r="H258" s="16"/>
      <c r="I258" s="16"/>
      <c r="J258" s="16"/>
      <c r="K258" s="16"/>
      <c r="L258" s="16"/>
      <c r="M258" s="16"/>
      <c r="AH258" s="187"/>
      <c r="AI258" s="187"/>
      <c r="AJ258" s="187"/>
      <c r="AK258" s="187"/>
      <c r="AL258" s="187"/>
      <c r="AM258" s="187"/>
      <c r="AN258" s="187"/>
      <c r="AO258" s="187"/>
      <c r="AP258" s="187"/>
      <c r="AQ258" s="187"/>
      <c r="AR258" s="187"/>
      <c r="AS258" s="187"/>
      <c r="AT258" s="224"/>
      <c r="AU258" s="224"/>
      <c r="AV258" s="224"/>
      <c r="AW258" s="224"/>
      <c r="AX258" s="224"/>
      <c r="AY258" s="224"/>
      <c r="AZ258" s="23"/>
      <c r="BA258" s="23"/>
      <c r="BB258"/>
      <c r="BC258"/>
      <c r="BD258"/>
    </row>
    <row r="259" spans="1:56" s="8" customFormat="1" x14ac:dyDescent="0.35">
      <c r="A259" s="16"/>
      <c r="B259" s="16"/>
      <c r="C259" s="16"/>
      <c r="D259" s="16"/>
      <c r="E259" s="16"/>
      <c r="F259" s="16"/>
      <c r="G259" s="16"/>
      <c r="H259" s="16"/>
      <c r="I259" s="16"/>
      <c r="J259" s="16"/>
      <c r="K259" s="16"/>
      <c r="L259" s="16"/>
      <c r="M259" s="16"/>
      <c r="AH259" s="187"/>
      <c r="AI259" s="187"/>
      <c r="AJ259" s="187"/>
      <c r="AK259" s="187"/>
      <c r="AL259" s="187"/>
      <c r="AM259" s="187"/>
      <c r="AN259" s="187"/>
      <c r="AO259" s="187"/>
      <c r="AP259" s="187"/>
      <c r="AQ259" s="187"/>
      <c r="AR259" s="187"/>
      <c r="AS259" s="187"/>
      <c r="AT259" s="224"/>
      <c r="AU259" s="224"/>
      <c r="AV259" s="224"/>
      <c r="AW259" s="224"/>
      <c r="AX259" s="224"/>
      <c r="AY259" s="224"/>
      <c r="AZ259" s="23"/>
      <c r="BA259" s="23"/>
      <c r="BB259"/>
      <c r="BC259"/>
      <c r="BD259"/>
    </row>
    <row r="260" spans="1:56" s="8" customFormat="1" x14ac:dyDescent="0.35">
      <c r="A260" s="16"/>
      <c r="B260" s="16"/>
      <c r="C260" s="16"/>
      <c r="D260" s="16"/>
      <c r="E260" s="16"/>
      <c r="F260" s="16"/>
      <c r="G260" s="16"/>
      <c r="H260" s="16"/>
      <c r="I260" s="16"/>
      <c r="J260" s="16"/>
      <c r="K260" s="16"/>
      <c r="L260" s="16"/>
      <c r="M260" s="16"/>
      <c r="AH260" s="187"/>
      <c r="AI260" s="187"/>
      <c r="AJ260" s="187"/>
      <c r="AK260" s="187"/>
      <c r="AL260" s="187"/>
      <c r="AM260" s="187"/>
      <c r="AN260" s="187"/>
      <c r="AO260" s="187"/>
      <c r="AP260" s="187"/>
      <c r="AQ260" s="187"/>
      <c r="AR260" s="187"/>
      <c r="AS260" s="187"/>
      <c r="AT260" s="224"/>
      <c r="AU260" s="224"/>
      <c r="AV260" s="224"/>
      <c r="AW260" s="224"/>
      <c r="AX260" s="224"/>
      <c r="AY260" s="224"/>
      <c r="AZ260" s="23"/>
      <c r="BA260" s="23"/>
      <c r="BB260"/>
      <c r="BC260"/>
      <c r="BD260"/>
    </row>
    <row r="261" spans="1:56" s="8" customFormat="1" x14ac:dyDescent="0.35">
      <c r="A261" s="16"/>
      <c r="B261" s="16"/>
      <c r="C261" s="16"/>
      <c r="D261" s="16"/>
      <c r="E261" s="16"/>
      <c r="F261" s="16"/>
      <c r="G261" s="16"/>
      <c r="H261" s="16"/>
      <c r="I261" s="16"/>
      <c r="J261" s="16"/>
      <c r="K261" s="16"/>
      <c r="L261" s="16"/>
      <c r="M261" s="16"/>
      <c r="AH261" s="187"/>
      <c r="AI261" s="187"/>
      <c r="AJ261" s="187"/>
      <c r="AK261" s="187"/>
      <c r="AL261" s="187"/>
      <c r="AM261" s="187"/>
      <c r="AN261" s="187"/>
      <c r="AO261" s="187"/>
      <c r="AP261" s="187"/>
      <c r="AQ261" s="187"/>
      <c r="AR261" s="187"/>
      <c r="AS261" s="187"/>
      <c r="AT261" s="224"/>
      <c r="AU261" s="224"/>
      <c r="AV261" s="224"/>
      <c r="AW261" s="224"/>
      <c r="AX261" s="224"/>
      <c r="AY261" s="224"/>
      <c r="AZ261" s="23"/>
      <c r="BA261" s="23"/>
      <c r="BB261"/>
      <c r="BC261"/>
      <c r="BD261"/>
    </row>
    <row r="262" spans="1:56" s="8" customFormat="1" x14ac:dyDescent="0.35">
      <c r="A262" s="16"/>
      <c r="B262" s="16"/>
      <c r="C262" s="16"/>
      <c r="D262" s="16"/>
      <c r="E262" s="16"/>
      <c r="F262" s="16"/>
      <c r="G262" s="16"/>
      <c r="H262" s="16"/>
      <c r="I262" s="16"/>
      <c r="J262" s="16"/>
      <c r="K262" s="16"/>
      <c r="L262" s="16"/>
      <c r="M262" s="16"/>
      <c r="AH262" s="187"/>
      <c r="AI262" s="187"/>
      <c r="AJ262" s="187"/>
      <c r="AK262" s="187"/>
      <c r="AL262" s="187"/>
      <c r="AM262" s="187"/>
      <c r="AN262" s="187"/>
      <c r="AO262" s="187"/>
      <c r="AP262" s="187"/>
      <c r="AQ262" s="187"/>
      <c r="AR262" s="187"/>
      <c r="AS262" s="187"/>
      <c r="AT262" s="224"/>
      <c r="AU262" s="224"/>
      <c r="AV262" s="224"/>
      <c r="AW262" s="224"/>
      <c r="AX262" s="224"/>
      <c r="AY262" s="224"/>
      <c r="AZ262" s="23"/>
      <c r="BA262" s="23"/>
      <c r="BB262"/>
      <c r="BC262"/>
      <c r="BD262"/>
    </row>
    <row r="263" spans="1:56" s="8" customFormat="1" x14ac:dyDescent="0.35">
      <c r="A263" s="16"/>
      <c r="B263" s="16"/>
      <c r="C263" s="16"/>
      <c r="D263" s="16"/>
      <c r="E263" s="16"/>
      <c r="F263" s="16"/>
      <c r="G263" s="16"/>
      <c r="H263" s="16"/>
      <c r="I263" s="16"/>
      <c r="J263" s="16"/>
      <c r="K263" s="16"/>
      <c r="L263" s="16"/>
      <c r="M263" s="16"/>
      <c r="AH263" s="187"/>
      <c r="AI263" s="187"/>
      <c r="AJ263" s="187"/>
      <c r="AK263" s="187"/>
      <c r="AL263" s="187"/>
      <c r="AM263" s="187"/>
      <c r="AN263" s="187"/>
      <c r="AO263" s="187"/>
      <c r="AP263" s="187"/>
      <c r="AQ263" s="187"/>
      <c r="AR263" s="187"/>
      <c r="AS263" s="187"/>
      <c r="AT263" s="224"/>
      <c r="AU263" s="224"/>
      <c r="AV263" s="224"/>
      <c r="AW263" s="224"/>
      <c r="AX263" s="224"/>
      <c r="AY263" s="224"/>
      <c r="AZ263" s="23"/>
      <c r="BA263" s="23"/>
      <c r="BB263"/>
      <c r="BC263"/>
      <c r="BD263"/>
    </row>
    <row r="264" spans="1:56" s="8" customFormat="1" x14ac:dyDescent="0.35">
      <c r="A264" s="16"/>
      <c r="B264" s="16"/>
      <c r="C264" s="16"/>
      <c r="D264" s="16"/>
      <c r="E264" s="16"/>
      <c r="F264" s="16"/>
      <c r="G264" s="16"/>
      <c r="H264" s="16"/>
      <c r="I264" s="16"/>
      <c r="J264" s="16"/>
      <c r="K264" s="16"/>
      <c r="L264" s="16"/>
      <c r="M264" s="16"/>
      <c r="AH264" s="187"/>
      <c r="AI264" s="187"/>
      <c r="AJ264" s="187"/>
      <c r="AK264" s="187"/>
      <c r="AL264" s="187"/>
      <c r="AM264" s="187"/>
      <c r="AN264" s="187"/>
      <c r="AO264" s="187"/>
      <c r="AP264" s="187"/>
      <c r="AQ264" s="187"/>
      <c r="AR264" s="187"/>
      <c r="AS264" s="187"/>
      <c r="AT264" s="224"/>
      <c r="AU264" s="224"/>
      <c r="AV264" s="224"/>
      <c r="AW264" s="224"/>
      <c r="AX264" s="224"/>
      <c r="AY264" s="224"/>
      <c r="AZ264" s="23"/>
      <c r="BA264" s="23"/>
      <c r="BB264"/>
      <c r="BC264"/>
      <c r="BD264"/>
    </row>
    <row r="265" spans="1:56" s="8" customFormat="1" x14ac:dyDescent="0.35">
      <c r="A265" s="16"/>
      <c r="B265" s="16"/>
      <c r="C265" s="16"/>
      <c r="D265" s="16"/>
      <c r="E265" s="16"/>
      <c r="F265" s="16"/>
      <c r="G265" s="16"/>
      <c r="H265" s="16"/>
      <c r="I265" s="16"/>
      <c r="J265" s="16"/>
      <c r="K265" s="16"/>
      <c r="L265" s="16"/>
      <c r="M265" s="16"/>
      <c r="AH265" s="187"/>
      <c r="AI265" s="187"/>
      <c r="AJ265" s="187"/>
      <c r="AK265" s="187"/>
      <c r="AL265" s="187"/>
      <c r="AM265" s="187"/>
      <c r="AN265" s="187"/>
      <c r="AO265" s="187"/>
      <c r="AP265" s="187"/>
      <c r="AQ265" s="187"/>
      <c r="AR265" s="187"/>
      <c r="AS265" s="187"/>
      <c r="AT265" s="224"/>
      <c r="AU265" s="224"/>
      <c r="AV265" s="224"/>
      <c r="AW265" s="224"/>
      <c r="AX265" s="224"/>
      <c r="AY265" s="224"/>
      <c r="AZ265" s="23"/>
      <c r="BA265" s="23"/>
      <c r="BB265"/>
      <c r="BC265"/>
      <c r="BD265"/>
    </row>
    <row r="266" spans="1:56" s="8" customFormat="1" x14ac:dyDescent="0.35">
      <c r="A266" s="16"/>
      <c r="B266" s="16"/>
      <c r="C266" s="16"/>
      <c r="D266" s="16"/>
      <c r="E266" s="16"/>
      <c r="F266" s="16"/>
      <c r="G266" s="16"/>
      <c r="H266" s="16"/>
      <c r="I266" s="16"/>
      <c r="J266" s="16"/>
      <c r="K266" s="16"/>
      <c r="L266" s="16"/>
      <c r="M266" s="16"/>
      <c r="AH266" s="187"/>
      <c r="AI266" s="187"/>
      <c r="AJ266" s="187"/>
      <c r="AK266" s="187"/>
      <c r="AL266" s="187"/>
      <c r="AM266" s="187"/>
      <c r="AN266" s="187"/>
      <c r="AO266" s="187"/>
      <c r="AP266" s="187"/>
      <c r="AQ266" s="187"/>
      <c r="AR266" s="187"/>
      <c r="AS266" s="187"/>
      <c r="AT266" s="224"/>
      <c r="AU266" s="224"/>
      <c r="AV266" s="224"/>
      <c r="AW266" s="224"/>
      <c r="AX266" s="224"/>
      <c r="AY266" s="224"/>
      <c r="AZ266" s="23"/>
      <c r="BA266" s="23"/>
      <c r="BB266"/>
      <c r="BC266"/>
      <c r="BD266"/>
    </row>
    <row r="267" spans="1:56" s="8" customFormat="1" x14ac:dyDescent="0.35">
      <c r="A267" s="16"/>
      <c r="B267" s="16"/>
      <c r="C267" s="16"/>
      <c r="D267" s="16"/>
      <c r="E267" s="16"/>
      <c r="F267" s="16"/>
      <c r="G267" s="16"/>
      <c r="H267" s="16"/>
      <c r="I267" s="16"/>
      <c r="J267" s="16"/>
      <c r="K267" s="16"/>
      <c r="L267" s="16"/>
      <c r="M267" s="16"/>
      <c r="AH267" s="187"/>
      <c r="AI267" s="187"/>
      <c r="AJ267" s="187"/>
      <c r="AK267" s="187"/>
      <c r="AL267" s="187"/>
      <c r="AM267" s="187"/>
      <c r="AN267" s="187"/>
      <c r="AO267" s="187"/>
      <c r="AP267" s="187"/>
      <c r="AQ267" s="187"/>
      <c r="AR267" s="187"/>
      <c r="AS267" s="187"/>
      <c r="AT267" s="224"/>
      <c r="AU267" s="224"/>
      <c r="AV267" s="224"/>
      <c r="AW267" s="224"/>
      <c r="AX267" s="224"/>
      <c r="AY267" s="224"/>
      <c r="AZ267" s="23"/>
      <c r="BA267" s="23"/>
      <c r="BB267"/>
      <c r="BC267"/>
      <c r="BD267"/>
    </row>
    <row r="268" spans="1:56" s="8" customFormat="1" x14ac:dyDescent="0.35">
      <c r="A268" s="16"/>
      <c r="B268" s="16"/>
      <c r="C268" s="16"/>
      <c r="D268" s="16"/>
      <c r="E268" s="16"/>
      <c r="F268" s="16"/>
      <c r="G268" s="16"/>
      <c r="H268" s="16"/>
      <c r="I268" s="16"/>
      <c r="J268" s="16"/>
      <c r="K268" s="16"/>
      <c r="L268" s="16"/>
      <c r="M268" s="16"/>
      <c r="AH268" s="187"/>
      <c r="AI268" s="187"/>
      <c r="AJ268" s="187"/>
      <c r="AK268" s="187"/>
      <c r="AL268" s="187"/>
      <c r="AM268" s="187"/>
      <c r="AN268" s="187"/>
      <c r="AO268" s="187"/>
      <c r="AP268" s="187"/>
      <c r="AQ268" s="187"/>
      <c r="AR268" s="187"/>
      <c r="AS268" s="187"/>
      <c r="AT268" s="224"/>
      <c r="AU268" s="224"/>
      <c r="AV268" s="224"/>
      <c r="AW268" s="224"/>
      <c r="AX268" s="224"/>
      <c r="AY268" s="224"/>
      <c r="AZ268" s="23"/>
      <c r="BA268" s="23"/>
      <c r="BB268"/>
      <c r="BC268"/>
      <c r="BD268"/>
    </row>
    <row r="269" spans="1:56" s="8" customFormat="1" x14ac:dyDescent="0.35">
      <c r="A269" s="16"/>
      <c r="B269" s="16"/>
      <c r="C269" s="16"/>
      <c r="D269" s="16"/>
      <c r="E269" s="16"/>
      <c r="F269" s="16"/>
      <c r="G269" s="16"/>
      <c r="H269" s="16"/>
      <c r="I269" s="16"/>
      <c r="J269" s="16"/>
      <c r="K269" s="16"/>
      <c r="L269" s="16"/>
      <c r="M269" s="16"/>
      <c r="AH269" s="187"/>
      <c r="AI269" s="187"/>
      <c r="AJ269" s="187"/>
      <c r="AK269" s="187"/>
      <c r="AL269" s="187"/>
      <c r="AM269" s="187"/>
      <c r="AN269" s="187"/>
      <c r="AO269" s="187"/>
      <c r="AP269" s="187"/>
      <c r="AQ269" s="187"/>
      <c r="AR269" s="187"/>
      <c r="AS269" s="187"/>
      <c r="AT269" s="224"/>
      <c r="AU269" s="224"/>
      <c r="AV269" s="224"/>
      <c r="AW269" s="224"/>
      <c r="AX269" s="224"/>
      <c r="AY269" s="224"/>
      <c r="AZ269" s="23"/>
      <c r="BA269" s="23"/>
      <c r="BB269"/>
      <c r="BC269"/>
      <c r="BD269"/>
    </row>
    <row r="270" spans="1:56" s="8" customFormat="1" x14ac:dyDescent="0.35">
      <c r="A270" s="16"/>
      <c r="B270" s="16"/>
      <c r="C270" s="16"/>
      <c r="D270" s="16"/>
      <c r="E270" s="16"/>
      <c r="F270" s="16"/>
      <c r="G270" s="16"/>
      <c r="H270" s="16"/>
      <c r="I270" s="16"/>
      <c r="J270" s="16"/>
      <c r="K270" s="16"/>
      <c r="L270" s="16"/>
      <c r="M270" s="16"/>
      <c r="AH270" s="187"/>
      <c r="AI270" s="187"/>
      <c r="AJ270" s="187"/>
      <c r="AK270" s="187"/>
      <c r="AL270" s="187"/>
      <c r="AM270" s="187"/>
      <c r="AN270" s="187"/>
      <c r="AO270" s="187"/>
      <c r="AP270" s="187"/>
      <c r="AQ270" s="187"/>
      <c r="AR270" s="187"/>
      <c r="AS270" s="187"/>
      <c r="AT270" s="224"/>
      <c r="AU270" s="224"/>
      <c r="AV270" s="224"/>
      <c r="AW270" s="224"/>
      <c r="AX270" s="224"/>
      <c r="AY270" s="224"/>
      <c r="AZ270" s="23"/>
      <c r="BA270" s="23"/>
      <c r="BB270"/>
      <c r="BC270"/>
      <c r="BD270"/>
    </row>
    <row r="271" spans="1:56" s="8" customFormat="1" x14ac:dyDescent="0.35">
      <c r="A271" s="16"/>
      <c r="B271" s="16"/>
      <c r="C271" s="16"/>
      <c r="D271" s="16"/>
      <c r="E271" s="16"/>
      <c r="F271" s="16"/>
      <c r="G271" s="16"/>
      <c r="H271" s="16"/>
      <c r="I271" s="16"/>
      <c r="J271" s="16"/>
      <c r="K271" s="16"/>
      <c r="L271" s="16"/>
      <c r="M271" s="16"/>
      <c r="AH271" s="187"/>
      <c r="AI271" s="187"/>
      <c r="AJ271" s="187"/>
      <c r="AK271" s="187"/>
      <c r="AL271" s="187"/>
      <c r="AM271" s="187"/>
      <c r="AN271" s="187"/>
      <c r="AO271" s="187"/>
      <c r="AP271" s="187"/>
      <c r="AQ271" s="187"/>
      <c r="AR271" s="187"/>
      <c r="AS271" s="187"/>
      <c r="AT271" s="224"/>
      <c r="AU271" s="224"/>
      <c r="AV271" s="224"/>
      <c r="AW271" s="224"/>
      <c r="AX271" s="224"/>
      <c r="AY271" s="224"/>
      <c r="AZ271" s="23"/>
      <c r="BA271" s="23"/>
      <c r="BB271"/>
      <c r="BC271"/>
      <c r="BD271"/>
    </row>
    <row r="272" spans="1:56" s="8" customFormat="1" x14ac:dyDescent="0.35">
      <c r="A272" s="16"/>
      <c r="B272" s="16"/>
      <c r="C272" s="16"/>
      <c r="D272" s="16"/>
      <c r="E272" s="16"/>
      <c r="F272" s="16"/>
      <c r="G272" s="16"/>
      <c r="H272" s="16"/>
      <c r="I272" s="16"/>
      <c r="J272" s="16"/>
      <c r="K272" s="16"/>
      <c r="L272" s="16"/>
      <c r="M272" s="16"/>
      <c r="AH272" s="187"/>
      <c r="AI272" s="187"/>
      <c r="AJ272" s="187"/>
      <c r="AK272" s="187"/>
      <c r="AL272" s="187"/>
      <c r="AM272" s="187"/>
      <c r="AN272" s="187"/>
      <c r="AO272" s="187"/>
      <c r="AP272" s="187"/>
      <c r="AQ272" s="187"/>
      <c r="AR272" s="187"/>
      <c r="AS272" s="187"/>
      <c r="AT272" s="224"/>
      <c r="AU272" s="224"/>
      <c r="AV272" s="224"/>
      <c r="AW272" s="224"/>
      <c r="AX272" s="224"/>
      <c r="AY272" s="224"/>
      <c r="AZ272" s="23"/>
      <c r="BA272" s="23"/>
      <c r="BB272"/>
      <c r="BC272"/>
      <c r="BD272"/>
    </row>
    <row r="273" spans="1:56" s="8" customFormat="1" x14ac:dyDescent="0.35">
      <c r="A273" s="16"/>
      <c r="B273" s="16"/>
      <c r="C273" s="16"/>
      <c r="D273" s="16"/>
      <c r="E273" s="16"/>
      <c r="F273" s="16"/>
      <c r="G273" s="16"/>
      <c r="H273" s="16"/>
      <c r="I273" s="16"/>
      <c r="J273" s="16"/>
      <c r="K273" s="16"/>
      <c r="L273" s="16"/>
      <c r="M273" s="16"/>
      <c r="AH273" s="187"/>
      <c r="AI273" s="187"/>
      <c r="AJ273" s="187"/>
      <c r="AK273" s="187"/>
      <c r="AL273" s="187"/>
      <c r="AM273" s="187"/>
      <c r="AN273" s="187"/>
      <c r="AO273" s="187"/>
      <c r="AP273" s="187"/>
      <c r="AQ273" s="187"/>
      <c r="AR273" s="187"/>
      <c r="AS273" s="187"/>
      <c r="AT273" s="224"/>
      <c r="AU273" s="224"/>
      <c r="AV273" s="224"/>
      <c r="AW273" s="224"/>
      <c r="AX273" s="224"/>
      <c r="AY273" s="224"/>
      <c r="AZ273" s="23"/>
      <c r="BA273" s="23"/>
      <c r="BB273"/>
      <c r="BC273"/>
      <c r="BD273"/>
    </row>
    <row r="274" spans="1:56" s="8" customFormat="1" x14ac:dyDescent="0.35">
      <c r="A274" s="16"/>
      <c r="B274" s="16"/>
      <c r="C274" s="16"/>
      <c r="D274" s="16"/>
      <c r="E274" s="16"/>
      <c r="F274" s="16"/>
      <c r="G274" s="16"/>
      <c r="H274" s="16"/>
      <c r="I274" s="16"/>
      <c r="J274" s="16"/>
      <c r="K274" s="16"/>
      <c r="L274" s="16"/>
      <c r="M274" s="16"/>
      <c r="AH274" s="187"/>
      <c r="AI274" s="187"/>
      <c r="AJ274" s="187"/>
      <c r="AK274" s="187"/>
      <c r="AL274" s="187"/>
      <c r="AM274" s="187"/>
      <c r="AN274" s="187"/>
      <c r="AO274" s="187"/>
      <c r="AP274" s="187"/>
      <c r="AQ274" s="187"/>
      <c r="AR274" s="187"/>
      <c r="AS274" s="187"/>
      <c r="AT274" s="224"/>
      <c r="AU274" s="224"/>
      <c r="AV274" s="224"/>
      <c r="AW274" s="224"/>
      <c r="AX274" s="224"/>
      <c r="AY274" s="224"/>
      <c r="AZ274" s="23"/>
      <c r="BA274" s="23"/>
      <c r="BB274"/>
      <c r="BC274"/>
      <c r="BD274"/>
    </row>
    <row r="275" spans="1:56" s="8" customFormat="1" x14ac:dyDescent="0.35">
      <c r="A275" s="16"/>
      <c r="B275" s="16"/>
      <c r="C275" s="16"/>
      <c r="D275" s="16"/>
      <c r="E275" s="16"/>
      <c r="F275" s="16"/>
      <c r="G275" s="16"/>
      <c r="H275" s="16"/>
      <c r="I275" s="16"/>
      <c r="J275" s="16"/>
      <c r="K275" s="16"/>
      <c r="L275" s="16"/>
      <c r="M275" s="16"/>
      <c r="AH275" s="187"/>
      <c r="AI275" s="187"/>
      <c r="AJ275" s="187"/>
      <c r="AK275" s="187"/>
      <c r="AL275" s="187"/>
      <c r="AM275" s="187"/>
      <c r="AN275" s="187"/>
      <c r="AO275" s="187"/>
      <c r="AP275" s="187"/>
      <c r="AQ275" s="187"/>
      <c r="AR275" s="187"/>
      <c r="AS275" s="187"/>
      <c r="AT275" s="224"/>
      <c r="AU275" s="224"/>
      <c r="AV275" s="224"/>
      <c r="AW275" s="224"/>
      <c r="AX275" s="224"/>
      <c r="AY275" s="224"/>
      <c r="AZ275" s="23"/>
      <c r="BA275" s="23"/>
      <c r="BB275"/>
      <c r="BC275"/>
      <c r="BD275"/>
    </row>
    <row r="276" spans="1:56" s="8" customFormat="1" x14ac:dyDescent="0.35">
      <c r="A276" s="16"/>
      <c r="B276" s="16"/>
      <c r="C276" s="16"/>
      <c r="D276" s="16"/>
      <c r="E276" s="16"/>
      <c r="F276" s="16"/>
      <c r="G276" s="16"/>
      <c r="H276" s="16"/>
      <c r="I276" s="16"/>
      <c r="J276" s="16"/>
      <c r="K276" s="16"/>
      <c r="L276" s="16"/>
      <c r="M276" s="16"/>
      <c r="AH276" s="187"/>
      <c r="AI276" s="187"/>
      <c r="AJ276" s="187"/>
      <c r="AK276" s="187"/>
      <c r="AL276" s="187"/>
      <c r="AM276" s="187"/>
      <c r="AN276" s="187"/>
      <c r="AO276" s="187"/>
      <c r="AP276" s="187"/>
      <c r="AQ276" s="187"/>
      <c r="AR276" s="187"/>
      <c r="AS276" s="187"/>
      <c r="AT276" s="224"/>
      <c r="AU276" s="224"/>
      <c r="AV276" s="224"/>
      <c r="AW276" s="224"/>
      <c r="AX276" s="224"/>
      <c r="AY276" s="224"/>
      <c r="AZ276" s="23"/>
      <c r="BA276" s="23"/>
      <c r="BB276"/>
      <c r="BC276"/>
      <c r="BD276"/>
    </row>
    <row r="277" spans="1:56" s="8" customFormat="1" x14ac:dyDescent="0.35">
      <c r="A277" s="16"/>
      <c r="B277" s="16"/>
      <c r="C277" s="16"/>
      <c r="D277" s="16"/>
      <c r="E277" s="16"/>
      <c r="F277" s="16"/>
      <c r="G277" s="16"/>
      <c r="H277" s="16"/>
      <c r="I277" s="16"/>
      <c r="J277" s="16"/>
      <c r="K277" s="16"/>
      <c r="L277" s="16"/>
      <c r="M277" s="16"/>
      <c r="AH277" s="187"/>
      <c r="AI277" s="187"/>
      <c r="AJ277" s="187"/>
      <c r="AK277" s="187"/>
      <c r="AL277" s="187"/>
      <c r="AM277" s="187"/>
      <c r="AN277" s="187"/>
      <c r="AO277" s="187"/>
      <c r="AP277" s="187"/>
      <c r="AQ277" s="187"/>
      <c r="AR277" s="187"/>
      <c r="AS277" s="187"/>
      <c r="AT277" s="224"/>
      <c r="AU277" s="224"/>
      <c r="AV277" s="224"/>
      <c r="AW277" s="224"/>
      <c r="AX277" s="224"/>
      <c r="AY277" s="224"/>
      <c r="AZ277" s="23"/>
      <c r="BA277" s="23"/>
      <c r="BB277"/>
      <c r="BC277"/>
      <c r="BD277"/>
    </row>
    <row r="278" spans="1:56" s="8" customFormat="1" x14ac:dyDescent="0.35">
      <c r="A278" s="16"/>
      <c r="B278" s="16"/>
      <c r="C278" s="16"/>
      <c r="D278" s="16"/>
      <c r="E278" s="16"/>
      <c r="F278" s="16"/>
      <c r="G278" s="16"/>
      <c r="H278" s="16"/>
      <c r="I278" s="16"/>
      <c r="J278" s="16"/>
      <c r="K278" s="16"/>
      <c r="L278" s="16"/>
      <c r="M278" s="16"/>
      <c r="AH278" s="187"/>
      <c r="AI278" s="187"/>
      <c r="AJ278" s="187"/>
      <c r="AK278" s="187"/>
      <c r="AL278" s="187"/>
      <c r="AM278" s="187"/>
      <c r="AN278" s="187"/>
      <c r="AO278" s="187"/>
      <c r="AP278" s="187"/>
      <c r="AQ278" s="187"/>
      <c r="AR278" s="187"/>
      <c r="AS278" s="187"/>
      <c r="AT278" s="224"/>
      <c r="AU278" s="224"/>
      <c r="AV278" s="224"/>
      <c r="AW278" s="224"/>
      <c r="AX278" s="224"/>
      <c r="AY278" s="224"/>
      <c r="AZ278" s="23"/>
      <c r="BA278" s="23"/>
      <c r="BB278"/>
      <c r="BC278"/>
      <c r="BD278"/>
    </row>
    <row r="279" spans="1:56" s="8" customFormat="1" x14ac:dyDescent="0.35">
      <c r="A279" s="16"/>
      <c r="B279" s="16"/>
      <c r="C279" s="16"/>
      <c r="D279" s="16"/>
      <c r="E279" s="16"/>
      <c r="F279" s="16"/>
      <c r="G279" s="16"/>
      <c r="H279" s="16"/>
      <c r="I279" s="16"/>
      <c r="J279" s="16"/>
      <c r="K279" s="16"/>
      <c r="L279" s="16"/>
      <c r="M279" s="16"/>
      <c r="AH279" s="187"/>
      <c r="AI279" s="187"/>
      <c r="AJ279" s="187"/>
      <c r="AK279" s="187"/>
      <c r="AL279" s="187"/>
      <c r="AM279" s="187"/>
      <c r="AN279" s="187"/>
      <c r="AO279" s="187"/>
      <c r="AP279" s="187"/>
      <c r="AQ279" s="187"/>
      <c r="AR279" s="187"/>
      <c r="AS279" s="187"/>
      <c r="AT279" s="224"/>
      <c r="AU279" s="224"/>
      <c r="AV279" s="224"/>
      <c r="AW279" s="224"/>
      <c r="AX279" s="224"/>
      <c r="AY279" s="224"/>
      <c r="AZ279" s="23"/>
      <c r="BA279" s="23"/>
      <c r="BB279"/>
      <c r="BC279"/>
      <c r="BD279"/>
    </row>
    <row r="280" spans="1:56" s="8" customFormat="1" x14ac:dyDescent="0.35">
      <c r="A280" s="16"/>
      <c r="B280" s="16"/>
      <c r="C280" s="16"/>
      <c r="D280" s="16"/>
      <c r="E280" s="16"/>
      <c r="F280" s="16"/>
      <c r="G280" s="16"/>
      <c r="H280" s="16"/>
      <c r="I280" s="16"/>
      <c r="J280" s="16"/>
      <c r="K280" s="16"/>
      <c r="L280" s="16"/>
      <c r="M280" s="16"/>
      <c r="AH280" s="187"/>
      <c r="AI280" s="187"/>
      <c r="AJ280" s="187"/>
      <c r="AK280" s="187"/>
      <c r="AL280" s="187"/>
      <c r="AM280" s="187"/>
      <c r="AN280" s="187"/>
      <c r="AO280" s="187"/>
      <c r="AP280" s="187"/>
      <c r="AQ280" s="187"/>
      <c r="AR280" s="187"/>
      <c r="AS280" s="187"/>
      <c r="AT280" s="224"/>
      <c r="AU280" s="224"/>
      <c r="AV280" s="224"/>
      <c r="AW280" s="224"/>
      <c r="AX280" s="224"/>
      <c r="AY280" s="224"/>
      <c r="AZ280" s="23"/>
      <c r="BA280" s="23"/>
      <c r="BB280"/>
      <c r="BC280"/>
      <c r="BD280"/>
    </row>
    <row r="281" spans="1:56" s="8" customFormat="1" x14ac:dyDescent="0.35">
      <c r="A281" s="16"/>
      <c r="B281" s="16"/>
      <c r="C281" s="16"/>
      <c r="D281" s="16"/>
      <c r="E281" s="16"/>
      <c r="F281" s="16"/>
      <c r="G281" s="16"/>
      <c r="H281" s="16"/>
      <c r="I281" s="16"/>
      <c r="J281" s="16"/>
      <c r="K281" s="16"/>
      <c r="L281" s="16"/>
      <c r="M281" s="16"/>
      <c r="AH281" s="187"/>
      <c r="AI281" s="187"/>
      <c r="AJ281" s="187"/>
      <c r="AK281" s="187"/>
      <c r="AL281" s="187"/>
      <c r="AM281" s="187"/>
      <c r="AN281" s="187"/>
      <c r="AO281" s="187"/>
      <c r="AP281" s="187"/>
      <c r="AQ281" s="187"/>
      <c r="AR281" s="187"/>
      <c r="AS281" s="187"/>
      <c r="AT281" s="224"/>
      <c r="AU281" s="224"/>
      <c r="AV281" s="224"/>
      <c r="AW281" s="224"/>
      <c r="AX281" s="224"/>
      <c r="AY281" s="224"/>
      <c r="AZ281" s="23"/>
      <c r="BA281" s="23"/>
      <c r="BB281"/>
      <c r="BC281"/>
      <c r="BD281"/>
    </row>
    <row r="282" spans="1:56" s="8" customFormat="1" x14ac:dyDescent="0.35">
      <c r="A282" s="16"/>
      <c r="B282" s="16"/>
      <c r="C282" s="16"/>
      <c r="D282" s="16"/>
      <c r="E282" s="16"/>
      <c r="F282" s="16"/>
      <c r="G282" s="16"/>
      <c r="H282" s="16"/>
      <c r="I282" s="16"/>
      <c r="J282" s="16"/>
      <c r="K282" s="16"/>
      <c r="L282" s="16"/>
      <c r="M282" s="16"/>
      <c r="AH282" s="187"/>
      <c r="AI282" s="187"/>
      <c r="AJ282" s="187"/>
      <c r="AK282" s="187"/>
      <c r="AL282" s="187"/>
      <c r="AM282" s="187"/>
      <c r="AN282" s="187"/>
      <c r="AO282" s="187"/>
      <c r="AP282" s="187"/>
      <c r="AQ282" s="187"/>
      <c r="AR282" s="187"/>
      <c r="AS282" s="187"/>
      <c r="AT282" s="224"/>
      <c r="AU282" s="224"/>
      <c r="AV282" s="224"/>
      <c r="AW282" s="224"/>
      <c r="AX282" s="224"/>
      <c r="AY282" s="224"/>
      <c r="AZ282" s="23"/>
      <c r="BA282" s="23"/>
      <c r="BB282"/>
      <c r="BC282"/>
      <c r="BD282"/>
    </row>
    <row r="283" spans="1:56" s="8" customFormat="1" x14ac:dyDescent="0.35">
      <c r="A283" s="16"/>
      <c r="B283" s="16"/>
      <c r="C283" s="16"/>
      <c r="D283" s="16"/>
      <c r="E283" s="16"/>
      <c r="F283" s="16"/>
      <c r="G283" s="16"/>
      <c r="H283" s="16"/>
      <c r="I283" s="16"/>
      <c r="J283" s="16"/>
      <c r="K283" s="16"/>
      <c r="L283" s="16"/>
      <c r="M283" s="16"/>
      <c r="AH283" s="187"/>
      <c r="AI283" s="187"/>
      <c r="AJ283" s="187"/>
      <c r="AK283" s="187"/>
      <c r="AL283" s="187"/>
      <c r="AM283" s="187"/>
      <c r="AN283" s="187"/>
      <c r="AO283" s="187"/>
      <c r="AP283" s="187"/>
      <c r="AQ283" s="187"/>
      <c r="AR283" s="187"/>
      <c r="AS283" s="187"/>
      <c r="AT283" s="224"/>
      <c r="AU283" s="224"/>
      <c r="AV283" s="224"/>
      <c r="AW283" s="224"/>
      <c r="AX283" s="224"/>
      <c r="AY283" s="224"/>
      <c r="AZ283" s="23"/>
      <c r="BA283" s="23"/>
      <c r="BB283"/>
      <c r="BC283"/>
      <c r="BD283"/>
    </row>
    <row r="284" spans="1:56" s="8" customFormat="1" x14ac:dyDescent="0.35">
      <c r="A284" s="16"/>
      <c r="B284" s="16"/>
      <c r="C284" s="16"/>
      <c r="D284" s="16"/>
      <c r="E284" s="16"/>
      <c r="F284" s="16"/>
      <c r="G284" s="16"/>
      <c r="H284" s="16"/>
      <c r="I284" s="16"/>
      <c r="J284" s="16"/>
      <c r="K284" s="16"/>
      <c r="L284" s="16"/>
      <c r="M284" s="16"/>
      <c r="AH284" s="187"/>
      <c r="AI284" s="187"/>
      <c r="AJ284" s="187"/>
      <c r="AK284" s="187"/>
      <c r="AL284" s="187"/>
      <c r="AM284" s="187"/>
      <c r="AN284" s="187"/>
      <c r="AO284" s="187"/>
      <c r="AP284" s="187"/>
      <c r="AQ284" s="187"/>
      <c r="AR284" s="187"/>
      <c r="AS284" s="187"/>
      <c r="AT284" s="224"/>
      <c r="AU284" s="224"/>
      <c r="AV284" s="224"/>
      <c r="AW284" s="224"/>
      <c r="AX284" s="224"/>
      <c r="AY284" s="224"/>
      <c r="AZ284" s="23"/>
      <c r="BA284" s="23"/>
      <c r="BB284"/>
      <c r="BC284"/>
      <c r="BD284"/>
    </row>
    <row r="285" spans="1:56" s="8" customFormat="1" x14ac:dyDescent="0.35">
      <c r="A285" s="16"/>
      <c r="B285" s="16"/>
      <c r="C285" s="16"/>
      <c r="D285" s="16"/>
      <c r="E285" s="16"/>
      <c r="F285" s="16"/>
      <c r="G285" s="16"/>
      <c r="H285" s="16"/>
      <c r="I285" s="16"/>
      <c r="J285" s="16"/>
      <c r="K285" s="16"/>
      <c r="L285" s="16"/>
      <c r="M285" s="16"/>
      <c r="AH285" s="187"/>
      <c r="AI285" s="187"/>
      <c r="AJ285" s="187"/>
      <c r="AK285" s="187"/>
      <c r="AL285" s="187"/>
      <c r="AM285" s="187"/>
      <c r="AN285" s="187"/>
      <c r="AO285" s="187"/>
      <c r="AP285" s="187"/>
      <c r="AQ285" s="187"/>
      <c r="AR285" s="187"/>
      <c r="AS285" s="187"/>
      <c r="AT285" s="224"/>
      <c r="AU285" s="224"/>
      <c r="AV285" s="224"/>
      <c r="AW285" s="224"/>
      <c r="AX285" s="224"/>
      <c r="AY285" s="224"/>
      <c r="AZ285" s="23"/>
      <c r="BA285" s="23"/>
      <c r="BB285"/>
      <c r="BC285"/>
      <c r="BD285"/>
    </row>
    <row r="286" spans="1:56" s="8" customFormat="1" x14ac:dyDescent="0.35">
      <c r="A286" s="16"/>
      <c r="B286" s="16"/>
      <c r="C286" s="16"/>
      <c r="D286" s="16"/>
      <c r="E286" s="16"/>
      <c r="F286" s="16"/>
      <c r="G286" s="16"/>
      <c r="H286" s="16"/>
      <c r="I286" s="16"/>
      <c r="J286" s="16"/>
      <c r="K286" s="16"/>
      <c r="L286" s="16"/>
      <c r="M286" s="16"/>
      <c r="AH286" s="187"/>
      <c r="AI286" s="187"/>
      <c r="AJ286" s="187"/>
      <c r="AK286" s="187"/>
      <c r="AL286" s="187"/>
      <c r="AM286" s="187"/>
      <c r="AN286" s="187"/>
      <c r="AO286" s="187"/>
      <c r="AP286" s="187"/>
      <c r="AQ286" s="187"/>
      <c r="AR286" s="187"/>
      <c r="AS286" s="187"/>
      <c r="AT286" s="224"/>
      <c r="AU286" s="224"/>
      <c r="AV286" s="224"/>
      <c r="AW286" s="224"/>
      <c r="AX286" s="224"/>
      <c r="AY286" s="224"/>
      <c r="AZ286" s="23"/>
      <c r="BA286" s="23"/>
      <c r="BB286"/>
      <c r="BC286"/>
      <c r="BD286"/>
    </row>
    <row r="287" spans="1:56" s="8" customFormat="1" x14ac:dyDescent="0.35">
      <c r="A287" s="16"/>
      <c r="B287" s="16"/>
      <c r="C287" s="16"/>
      <c r="D287" s="16"/>
      <c r="E287" s="16"/>
      <c r="F287" s="16"/>
      <c r="G287" s="16"/>
      <c r="H287" s="16"/>
      <c r="I287" s="16"/>
      <c r="J287" s="16"/>
      <c r="K287" s="16"/>
      <c r="L287" s="16"/>
      <c r="M287" s="16"/>
      <c r="AH287" s="187"/>
      <c r="AI287" s="187"/>
      <c r="AJ287" s="187"/>
      <c r="AK287" s="187"/>
      <c r="AL287" s="187"/>
      <c r="AM287" s="187"/>
      <c r="AN287" s="187"/>
      <c r="AO287" s="187"/>
      <c r="AP287" s="187"/>
      <c r="AQ287" s="187"/>
      <c r="AR287" s="187"/>
      <c r="AS287" s="187"/>
      <c r="AT287" s="224"/>
      <c r="AU287" s="224"/>
      <c r="AV287" s="224"/>
      <c r="AW287" s="224"/>
      <c r="AX287" s="224"/>
      <c r="AY287" s="224"/>
      <c r="AZ287" s="23"/>
      <c r="BA287" s="23"/>
      <c r="BB287"/>
      <c r="BC287"/>
      <c r="BD287"/>
    </row>
    <row r="288" spans="1:56" s="8" customFormat="1" x14ac:dyDescent="0.35">
      <c r="A288" s="16"/>
      <c r="B288" s="16"/>
      <c r="C288" s="16"/>
      <c r="D288" s="16"/>
      <c r="E288" s="16"/>
      <c r="F288" s="16"/>
      <c r="G288" s="16"/>
      <c r="H288" s="16"/>
      <c r="I288" s="16"/>
      <c r="J288" s="16"/>
      <c r="K288" s="16"/>
      <c r="L288" s="16"/>
      <c r="M288" s="16"/>
      <c r="AH288" s="187"/>
      <c r="AI288" s="187"/>
      <c r="AJ288" s="187"/>
      <c r="AK288" s="187"/>
      <c r="AL288" s="187"/>
      <c r="AM288" s="187"/>
      <c r="AN288" s="187"/>
      <c r="AO288" s="187"/>
      <c r="AP288" s="187"/>
      <c r="AQ288" s="187"/>
      <c r="AR288" s="187"/>
      <c r="AS288" s="187"/>
      <c r="AT288" s="224"/>
      <c r="AU288" s="224"/>
      <c r="AV288" s="224"/>
      <c r="AW288" s="224"/>
      <c r="AX288" s="224"/>
      <c r="AY288" s="224"/>
      <c r="AZ288" s="23"/>
      <c r="BA288" s="23"/>
      <c r="BB288"/>
      <c r="BC288"/>
      <c r="BD288"/>
    </row>
    <row r="289" spans="1:56" s="8" customFormat="1" x14ac:dyDescent="0.35">
      <c r="A289" s="16"/>
      <c r="B289" s="16"/>
      <c r="C289" s="16"/>
      <c r="D289" s="16"/>
      <c r="E289" s="16"/>
      <c r="F289" s="16"/>
      <c r="G289" s="16"/>
      <c r="H289" s="16"/>
      <c r="I289" s="16"/>
      <c r="J289" s="16"/>
      <c r="K289" s="16"/>
      <c r="L289" s="16"/>
      <c r="M289" s="16"/>
      <c r="AH289" s="187"/>
      <c r="AI289" s="187"/>
      <c r="AJ289" s="187"/>
      <c r="AK289" s="187"/>
      <c r="AL289" s="187"/>
      <c r="AM289" s="187"/>
      <c r="AN289" s="187"/>
      <c r="AO289" s="187"/>
      <c r="AP289" s="187"/>
      <c r="AQ289" s="187"/>
      <c r="AR289" s="187"/>
      <c r="AS289" s="187"/>
      <c r="AT289" s="224"/>
      <c r="AU289" s="224"/>
      <c r="AV289" s="224"/>
      <c r="AW289" s="224"/>
      <c r="AX289" s="224"/>
      <c r="AY289" s="224"/>
      <c r="AZ289" s="23"/>
      <c r="BA289" s="23"/>
      <c r="BB289"/>
      <c r="BC289"/>
      <c r="BD289"/>
    </row>
    <row r="290" spans="1:56" s="8" customFormat="1" x14ac:dyDescent="0.35">
      <c r="A290" s="16"/>
      <c r="B290" s="16"/>
      <c r="C290" s="16"/>
      <c r="D290" s="16"/>
      <c r="E290" s="16"/>
      <c r="F290" s="16"/>
      <c r="G290" s="16"/>
      <c r="H290" s="16"/>
      <c r="I290" s="16"/>
      <c r="J290" s="16"/>
      <c r="K290" s="16"/>
      <c r="L290" s="16"/>
      <c r="M290" s="16"/>
      <c r="AH290" s="187"/>
      <c r="AI290" s="187"/>
      <c r="AJ290" s="187"/>
      <c r="AK290" s="187"/>
      <c r="AL290" s="187"/>
      <c r="AM290" s="187"/>
      <c r="AN290" s="187"/>
      <c r="AO290" s="187"/>
      <c r="AP290" s="187"/>
      <c r="AQ290" s="187"/>
      <c r="AR290" s="187"/>
      <c r="AS290" s="187"/>
      <c r="AT290" s="224"/>
      <c r="AU290" s="224"/>
      <c r="AV290" s="224"/>
      <c r="AW290" s="224"/>
      <c r="AX290" s="224"/>
      <c r="AY290" s="224"/>
      <c r="AZ290" s="23"/>
      <c r="BA290" s="23"/>
      <c r="BB290"/>
      <c r="BC290"/>
      <c r="BD290"/>
    </row>
    <row r="291" spans="1:56" s="8" customFormat="1" x14ac:dyDescent="0.35">
      <c r="A291" s="16"/>
      <c r="B291" s="16"/>
      <c r="C291" s="16"/>
      <c r="D291" s="16"/>
      <c r="E291" s="16"/>
      <c r="F291" s="16"/>
      <c r="G291" s="16"/>
      <c r="H291" s="16"/>
      <c r="I291" s="16"/>
      <c r="J291" s="16"/>
      <c r="K291" s="16"/>
      <c r="L291" s="16"/>
      <c r="M291" s="16"/>
      <c r="AH291" s="187"/>
      <c r="AI291" s="187"/>
      <c r="AJ291" s="16"/>
      <c r="AK291" s="16"/>
      <c r="AL291" s="16"/>
      <c r="AM291" s="16"/>
      <c r="AN291" s="16"/>
      <c r="AO291" s="16"/>
      <c r="AP291" s="16"/>
      <c r="AQ291" s="16"/>
      <c r="AR291" s="16"/>
      <c r="AS291" s="16"/>
    </row>
    <row r="292" spans="1:56" s="8" customFormat="1" x14ac:dyDescent="0.35">
      <c r="A292" s="16"/>
      <c r="B292" s="16"/>
      <c r="C292" s="16"/>
      <c r="D292" s="16"/>
      <c r="E292" s="16"/>
      <c r="F292" s="16"/>
      <c r="G292" s="16"/>
      <c r="H292" s="16"/>
      <c r="I292" s="16"/>
      <c r="J292" s="16"/>
      <c r="K292" s="16"/>
      <c r="L292" s="16"/>
      <c r="M292" s="16"/>
      <c r="AH292" s="187"/>
      <c r="AI292" s="187"/>
      <c r="AJ292" s="16"/>
      <c r="AK292" s="16"/>
      <c r="AL292" s="16"/>
      <c r="AM292" s="16"/>
      <c r="AN292" s="16"/>
      <c r="AO292" s="16"/>
      <c r="AP292" s="16"/>
      <c r="AQ292" s="16"/>
      <c r="AR292" s="16"/>
      <c r="AS292" s="16"/>
    </row>
    <row r="293" spans="1:56" s="8" customFormat="1" x14ac:dyDescent="0.35">
      <c r="A293" s="16"/>
      <c r="B293" s="16"/>
      <c r="C293" s="16"/>
      <c r="D293" s="16"/>
      <c r="E293" s="16"/>
      <c r="F293" s="16"/>
      <c r="G293" s="16"/>
      <c r="H293" s="16"/>
      <c r="I293" s="16"/>
      <c r="J293" s="16"/>
      <c r="K293" s="16"/>
      <c r="L293" s="16"/>
      <c r="M293" s="16"/>
      <c r="AH293" s="187"/>
      <c r="AI293" s="187"/>
      <c r="AJ293" s="16"/>
      <c r="AK293" s="16"/>
      <c r="AL293" s="16"/>
      <c r="AM293" s="16"/>
      <c r="AN293" s="16"/>
      <c r="AO293" s="16"/>
      <c r="AP293" s="16"/>
      <c r="AQ293" s="16"/>
      <c r="AR293" s="16"/>
      <c r="AS293" s="16"/>
    </row>
    <row r="294" spans="1:56" s="8" customFormat="1" x14ac:dyDescent="0.35">
      <c r="A294" s="16"/>
      <c r="B294" s="16"/>
      <c r="C294" s="16"/>
      <c r="D294" s="16"/>
      <c r="E294" s="16"/>
      <c r="F294" s="16"/>
      <c r="G294" s="16"/>
      <c r="H294" s="16"/>
      <c r="I294" s="16"/>
      <c r="J294" s="16"/>
      <c r="K294" s="16"/>
      <c r="L294" s="16"/>
      <c r="M294" s="16"/>
      <c r="AH294" s="187"/>
      <c r="AI294" s="187"/>
      <c r="AJ294" s="16"/>
      <c r="AK294" s="16"/>
      <c r="AL294" s="16"/>
      <c r="AM294" s="16"/>
      <c r="AN294" s="16"/>
      <c r="AO294" s="16"/>
      <c r="AP294" s="16"/>
      <c r="AQ294" s="16"/>
      <c r="AR294" s="16"/>
      <c r="AS294" s="16"/>
    </row>
    <row r="295" spans="1:56" s="8" customFormat="1" x14ac:dyDescent="0.35">
      <c r="A295" s="16"/>
      <c r="B295" s="16"/>
      <c r="C295" s="16"/>
      <c r="D295" s="16"/>
      <c r="E295" s="16"/>
      <c r="F295" s="16"/>
      <c r="G295" s="16"/>
      <c r="H295" s="16"/>
      <c r="I295" s="16"/>
      <c r="J295" s="16"/>
      <c r="K295" s="16"/>
      <c r="L295" s="16"/>
      <c r="M295" s="16"/>
      <c r="AH295" s="187"/>
      <c r="AI295" s="187"/>
      <c r="AJ295" s="16"/>
      <c r="AK295" s="16"/>
      <c r="AL295" s="16"/>
      <c r="AM295" s="16"/>
      <c r="AN295" s="16"/>
      <c r="AO295" s="16"/>
      <c r="AP295" s="16"/>
      <c r="AQ295" s="16"/>
      <c r="AR295" s="16"/>
      <c r="AS295" s="16"/>
    </row>
    <row r="296" spans="1:56" s="8" customFormat="1" x14ac:dyDescent="0.35">
      <c r="A296" s="16"/>
      <c r="B296" s="16"/>
      <c r="C296" s="16"/>
      <c r="D296" s="16"/>
      <c r="E296" s="16"/>
      <c r="F296" s="16"/>
      <c r="G296" s="16"/>
      <c r="H296" s="16"/>
      <c r="I296" s="16"/>
      <c r="J296" s="16"/>
      <c r="K296" s="16"/>
      <c r="L296" s="16"/>
      <c r="M296" s="16"/>
      <c r="AH296" s="187"/>
      <c r="AI296" s="187"/>
      <c r="AJ296" s="16"/>
      <c r="AK296" s="16"/>
      <c r="AL296" s="16"/>
      <c r="AM296" s="16"/>
      <c r="AN296" s="16"/>
      <c r="AO296" s="16"/>
      <c r="AP296" s="16"/>
      <c r="AQ296" s="16"/>
      <c r="AR296" s="16"/>
      <c r="AS296" s="16"/>
    </row>
    <row r="297" spans="1:56" s="8" customFormat="1" x14ac:dyDescent="0.35">
      <c r="A297" s="16"/>
      <c r="B297" s="16"/>
      <c r="C297" s="16"/>
      <c r="D297" s="16"/>
      <c r="E297" s="16"/>
      <c r="F297" s="16"/>
      <c r="G297" s="16"/>
      <c r="H297" s="16"/>
      <c r="I297" s="16"/>
      <c r="J297" s="16"/>
      <c r="K297" s="16"/>
      <c r="L297" s="16"/>
      <c r="M297" s="16"/>
      <c r="AH297" s="187"/>
      <c r="AI297" s="187"/>
      <c r="AJ297" s="16"/>
      <c r="AK297" s="16"/>
      <c r="AL297" s="16"/>
      <c r="AM297" s="16"/>
      <c r="AN297" s="16"/>
      <c r="AO297" s="16"/>
      <c r="AP297" s="16"/>
      <c r="AQ297" s="16"/>
      <c r="AR297" s="16"/>
      <c r="AS297" s="16"/>
    </row>
    <row r="298" spans="1:56" s="8" customFormat="1" x14ac:dyDescent="0.35">
      <c r="A298" s="16"/>
      <c r="B298" s="16"/>
      <c r="C298" s="16"/>
      <c r="D298" s="16"/>
      <c r="E298" s="16"/>
      <c r="F298" s="16"/>
      <c r="G298" s="16"/>
      <c r="H298" s="16"/>
      <c r="I298" s="16"/>
      <c r="J298" s="16"/>
      <c r="K298" s="16"/>
      <c r="L298" s="16"/>
      <c r="M298" s="16"/>
      <c r="AH298" s="187"/>
      <c r="AI298" s="187"/>
      <c r="AJ298" s="16"/>
      <c r="AK298" s="16"/>
      <c r="AL298" s="16"/>
      <c r="AM298" s="16"/>
      <c r="AN298" s="16"/>
      <c r="AO298" s="16"/>
      <c r="AP298" s="16"/>
      <c r="AQ298" s="16"/>
      <c r="AR298" s="16"/>
      <c r="AS298" s="16"/>
    </row>
    <row r="299" spans="1:56" s="8" customFormat="1" x14ac:dyDescent="0.35">
      <c r="A299" s="16"/>
      <c r="B299" s="16"/>
      <c r="C299" s="16"/>
      <c r="D299" s="16"/>
      <c r="E299" s="16"/>
      <c r="F299" s="16"/>
      <c r="G299" s="16"/>
      <c r="H299" s="16"/>
      <c r="I299" s="16"/>
      <c r="J299" s="16"/>
      <c r="K299" s="16"/>
      <c r="L299" s="16"/>
      <c r="M299" s="16"/>
      <c r="AH299" s="187"/>
      <c r="AI299" s="187"/>
      <c r="AJ299" s="16"/>
      <c r="AK299" s="16"/>
      <c r="AL299" s="16"/>
      <c r="AM299" s="16"/>
      <c r="AN299" s="16"/>
      <c r="AO299" s="16"/>
      <c r="AP299" s="16"/>
      <c r="AQ299" s="16"/>
      <c r="AR299" s="16"/>
      <c r="AS299" s="16"/>
    </row>
    <row r="300" spans="1:56" s="8" customFormat="1" x14ac:dyDescent="0.35">
      <c r="A300" s="16"/>
      <c r="B300" s="16"/>
      <c r="C300" s="16"/>
      <c r="D300" s="16"/>
      <c r="E300" s="16"/>
      <c r="F300" s="16"/>
      <c r="G300" s="16"/>
      <c r="H300" s="16"/>
      <c r="I300" s="16"/>
      <c r="J300" s="16"/>
      <c r="K300" s="16"/>
      <c r="L300" s="16"/>
      <c r="M300" s="16"/>
      <c r="AH300" s="16"/>
      <c r="AI300" s="16"/>
      <c r="AJ300" s="16"/>
      <c r="AK300" s="16"/>
      <c r="AL300" s="16"/>
      <c r="AM300" s="16"/>
      <c r="AN300" s="16"/>
      <c r="AO300" s="16"/>
      <c r="AP300" s="16"/>
      <c r="AQ300" s="16"/>
      <c r="AR300" s="16"/>
      <c r="AS300" s="16"/>
    </row>
    <row r="301" spans="1:56" s="8" customFormat="1" x14ac:dyDescent="0.35">
      <c r="A301" s="16"/>
      <c r="B301" s="16"/>
      <c r="C301" s="16"/>
      <c r="D301" s="16"/>
      <c r="E301" s="16"/>
      <c r="F301" s="16"/>
      <c r="G301" s="16"/>
      <c r="H301" s="16"/>
      <c r="I301" s="16"/>
      <c r="J301" s="16"/>
      <c r="K301" s="16"/>
      <c r="L301" s="16"/>
      <c r="M301" s="16"/>
      <c r="AH301" s="16"/>
      <c r="AI301" s="16"/>
      <c r="AJ301" s="16"/>
      <c r="AK301" s="16"/>
      <c r="AL301" s="16"/>
      <c r="AM301" s="16"/>
      <c r="AN301" s="16"/>
      <c r="AO301" s="16"/>
      <c r="AP301" s="16"/>
      <c r="AQ301" s="16"/>
      <c r="AR301" s="16"/>
      <c r="AS301" s="16"/>
    </row>
    <row r="302" spans="1:56" s="8" customFormat="1" x14ac:dyDescent="0.35">
      <c r="A302" s="16"/>
      <c r="B302" s="16"/>
      <c r="C302" s="16"/>
      <c r="D302" s="16"/>
      <c r="E302" s="16"/>
      <c r="F302" s="16"/>
      <c r="G302" s="16"/>
      <c r="H302" s="16"/>
      <c r="I302" s="16"/>
      <c r="J302" s="16"/>
      <c r="K302" s="16"/>
      <c r="L302" s="16"/>
      <c r="M302" s="16"/>
      <c r="AH302" s="16"/>
      <c r="AI302" s="16"/>
      <c r="AJ302" s="16"/>
      <c r="AK302" s="16"/>
      <c r="AL302" s="16"/>
      <c r="AM302" s="16"/>
      <c r="AN302" s="16"/>
      <c r="AO302" s="16"/>
      <c r="AP302" s="16"/>
      <c r="AQ302" s="16"/>
      <c r="AR302" s="16"/>
      <c r="AS302" s="16"/>
    </row>
    <row r="303" spans="1:56" s="8" customFormat="1" x14ac:dyDescent="0.35">
      <c r="A303" s="16"/>
      <c r="B303" s="16"/>
      <c r="C303" s="16"/>
      <c r="D303" s="16"/>
      <c r="E303" s="16"/>
      <c r="F303" s="16"/>
      <c r="G303" s="16"/>
      <c r="H303" s="16"/>
      <c r="I303" s="16"/>
      <c r="J303" s="16"/>
      <c r="K303" s="16"/>
      <c r="L303" s="16"/>
      <c r="M303" s="16"/>
      <c r="AH303" s="16"/>
      <c r="AI303" s="16"/>
      <c r="AJ303" s="16"/>
      <c r="AK303" s="16"/>
      <c r="AL303" s="16"/>
      <c r="AM303" s="16"/>
      <c r="AN303" s="16"/>
      <c r="AO303" s="16"/>
      <c r="AP303" s="16"/>
      <c r="AQ303" s="16"/>
      <c r="AR303" s="16"/>
      <c r="AS303" s="16"/>
    </row>
    <row r="304" spans="1:56" s="8" customFormat="1" x14ac:dyDescent="0.35">
      <c r="A304" s="16"/>
      <c r="B304" s="16"/>
      <c r="C304" s="16"/>
      <c r="D304" s="16"/>
      <c r="E304" s="16"/>
      <c r="F304" s="16"/>
      <c r="G304" s="16"/>
      <c r="H304" s="16"/>
      <c r="I304" s="16"/>
      <c r="J304" s="16"/>
      <c r="K304" s="16"/>
      <c r="L304" s="16"/>
      <c r="M304" s="16"/>
      <c r="AH304" s="16"/>
      <c r="AI304" s="16"/>
      <c r="AJ304" s="16"/>
      <c r="AK304" s="16"/>
      <c r="AL304" s="16"/>
      <c r="AM304" s="16"/>
      <c r="AN304" s="16"/>
      <c r="AO304" s="16"/>
      <c r="AP304" s="16"/>
      <c r="AQ304" s="16"/>
      <c r="AR304" s="16"/>
      <c r="AS304" s="16"/>
    </row>
    <row r="305" spans="1:45" s="8" customFormat="1" x14ac:dyDescent="0.35">
      <c r="A305" s="16"/>
      <c r="B305" s="16"/>
      <c r="C305" s="16"/>
      <c r="D305" s="16"/>
      <c r="E305" s="16"/>
      <c r="F305" s="16"/>
      <c r="G305" s="16"/>
      <c r="H305" s="16"/>
      <c r="I305" s="16"/>
      <c r="J305" s="16"/>
      <c r="K305" s="16"/>
      <c r="L305" s="16"/>
      <c r="M305" s="16"/>
      <c r="AH305" s="16"/>
      <c r="AI305" s="16"/>
      <c r="AJ305" s="16"/>
      <c r="AK305" s="16"/>
      <c r="AL305" s="16"/>
      <c r="AM305" s="16"/>
      <c r="AN305" s="16"/>
      <c r="AO305" s="16"/>
      <c r="AP305" s="16"/>
      <c r="AQ305" s="16"/>
      <c r="AR305" s="16"/>
      <c r="AS305" s="16"/>
    </row>
    <row r="306" spans="1:45" s="8" customFormat="1" x14ac:dyDescent="0.35">
      <c r="A306" s="16"/>
      <c r="B306" s="16"/>
      <c r="C306" s="16"/>
      <c r="D306" s="16"/>
      <c r="E306" s="16"/>
      <c r="F306" s="16"/>
      <c r="G306" s="16"/>
      <c r="H306" s="16"/>
      <c r="I306" s="16"/>
      <c r="J306" s="16"/>
      <c r="K306" s="16"/>
      <c r="L306" s="16"/>
      <c r="M306" s="16"/>
      <c r="AH306" s="16"/>
      <c r="AI306" s="16"/>
      <c r="AJ306" s="16"/>
      <c r="AK306" s="16"/>
      <c r="AL306" s="16"/>
      <c r="AM306" s="16"/>
      <c r="AN306" s="16"/>
      <c r="AO306" s="16"/>
      <c r="AP306" s="16"/>
      <c r="AQ306" s="16"/>
      <c r="AR306" s="16"/>
      <c r="AS306" s="16"/>
    </row>
    <row r="307" spans="1:45" s="8" customFormat="1" x14ac:dyDescent="0.35">
      <c r="A307" s="16"/>
      <c r="B307" s="16"/>
      <c r="C307" s="16"/>
      <c r="D307" s="16"/>
      <c r="E307" s="16"/>
      <c r="F307" s="16"/>
      <c r="G307" s="16"/>
      <c r="H307" s="16"/>
      <c r="I307" s="16"/>
      <c r="J307" s="16"/>
      <c r="K307" s="16"/>
      <c r="L307" s="16"/>
      <c r="M307" s="16"/>
      <c r="AH307" s="16"/>
      <c r="AI307" s="16"/>
      <c r="AJ307" s="16"/>
      <c r="AK307" s="16"/>
      <c r="AL307" s="16"/>
      <c r="AM307" s="16"/>
      <c r="AN307" s="16"/>
      <c r="AO307" s="16"/>
      <c r="AP307" s="16"/>
      <c r="AQ307" s="16"/>
      <c r="AR307" s="16"/>
      <c r="AS307" s="16"/>
    </row>
    <row r="308" spans="1:45" s="8" customFormat="1" x14ac:dyDescent="0.35">
      <c r="A308" s="16"/>
      <c r="B308" s="16"/>
      <c r="C308" s="16"/>
      <c r="D308" s="16"/>
      <c r="E308" s="16"/>
      <c r="F308" s="16"/>
      <c r="G308" s="16"/>
      <c r="H308" s="16"/>
      <c r="I308" s="16"/>
      <c r="J308" s="16"/>
      <c r="K308" s="16"/>
      <c r="L308" s="16"/>
      <c r="M308" s="16"/>
      <c r="AH308" s="16"/>
      <c r="AI308" s="16"/>
      <c r="AJ308" s="16"/>
      <c r="AK308" s="16"/>
      <c r="AL308" s="16"/>
      <c r="AM308" s="16"/>
      <c r="AN308" s="16"/>
      <c r="AO308" s="16"/>
      <c r="AP308" s="16"/>
      <c r="AQ308" s="16"/>
      <c r="AR308" s="16"/>
      <c r="AS308" s="16"/>
    </row>
    <row r="309" spans="1:45" s="8" customFormat="1" x14ac:dyDescent="0.35">
      <c r="A309" s="16"/>
      <c r="B309" s="16"/>
      <c r="C309" s="16"/>
      <c r="D309" s="16"/>
      <c r="E309" s="16"/>
      <c r="F309" s="16"/>
      <c r="G309" s="16"/>
      <c r="H309" s="16"/>
      <c r="I309" s="16"/>
      <c r="J309" s="16"/>
      <c r="K309" s="16"/>
      <c r="L309" s="16"/>
      <c r="M309" s="16"/>
      <c r="AH309" s="16"/>
      <c r="AI309" s="16"/>
      <c r="AJ309" s="16"/>
      <c r="AK309" s="16"/>
      <c r="AL309" s="16"/>
      <c r="AM309" s="16"/>
      <c r="AN309" s="16"/>
      <c r="AO309" s="16"/>
      <c r="AP309" s="16"/>
      <c r="AQ309" s="16"/>
      <c r="AR309" s="16"/>
      <c r="AS309" s="16"/>
    </row>
    <row r="310" spans="1:45" s="8" customFormat="1" x14ac:dyDescent="0.35">
      <c r="A310" s="16"/>
      <c r="B310" s="16"/>
      <c r="C310" s="16"/>
      <c r="D310" s="16"/>
      <c r="E310" s="16"/>
      <c r="F310" s="16"/>
      <c r="G310" s="16"/>
      <c r="H310" s="16"/>
      <c r="I310" s="16"/>
      <c r="J310" s="16"/>
      <c r="K310" s="16"/>
      <c r="L310" s="16"/>
      <c r="M310" s="16"/>
      <c r="AH310" s="16"/>
      <c r="AI310" s="16"/>
      <c r="AJ310" s="16"/>
      <c r="AK310" s="16"/>
      <c r="AL310" s="16"/>
      <c r="AM310" s="16"/>
      <c r="AN310" s="16"/>
      <c r="AO310" s="16"/>
      <c r="AP310" s="16"/>
      <c r="AQ310" s="16"/>
      <c r="AR310" s="16"/>
      <c r="AS310" s="16"/>
    </row>
    <row r="311" spans="1:45" s="8" customFormat="1" x14ac:dyDescent="0.35">
      <c r="A311" s="16"/>
      <c r="B311" s="16"/>
      <c r="C311" s="16"/>
      <c r="D311" s="16"/>
      <c r="E311" s="16"/>
      <c r="F311" s="16"/>
      <c r="G311" s="16"/>
      <c r="H311" s="16"/>
      <c r="I311" s="16"/>
      <c r="J311" s="16"/>
      <c r="K311" s="16"/>
      <c r="L311" s="16"/>
      <c r="M311" s="16"/>
      <c r="AH311" s="16"/>
      <c r="AI311" s="16"/>
      <c r="AJ311" s="16"/>
      <c r="AK311" s="16"/>
      <c r="AL311" s="16"/>
      <c r="AM311" s="16"/>
      <c r="AN311" s="16"/>
      <c r="AO311" s="16"/>
      <c r="AP311" s="16"/>
      <c r="AQ311" s="16"/>
      <c r="AR311" s="16"/>
      <c r="AS311" s="16"/>
    </row>
    <row r="312" spans="1:45" s="8" customFormat="1" x14ac:dyDescent="0.35">
      <c r="A312" s="16"/>
      <c r="B312" s="16"/>
      <c r="C312" s="16"/>
      <c r="D312" s="16"/>
      <c r="E312" s="16"/>
      <c r="F312" s="16"/>
      <c r="G312" s="16"/>
      <c r="H312" s="16"/>
      <c r="I312" s="16"/>
      <c r="J312" s="16"/>
      <c r="K312" s="16"/>
      <c r="L312" s="16"/>
      <c r="M312" s="16"/>
      <c r="AH312" s="16"/>
      <c r="AI312" s="16"/>
      <c r="AJ312" s="16"/>
      <c r="AK312" s="16"/>
      <c r="AL312" s="16"/>
      <c r="AM312" s="16"/>
      <c r="AN312" s="16"/>
      <c r="AO312" s="16"/>
      <c r="AP312" s="16"/>
      <c r="AQ312" s="16"/>
      <c r="AR312" s="16"/>
      <c r="AS312" s="16"/>
    </row>
    <row r="313" spans="1:45" s="8" customFormat="1" x14ac:dyDescent="0.35">
      <c r="A313" s="16"/>
      <c r="B313" s="16"/>
      <c r="C313" s="16"/>
      <c r="D313" s="16"/>
      <c r="E313" s="16"/>
      <c r="F313" s="16"/>
      <c r="G313" s="16"/>
      <c r="H313" s="16"/>
      <c r="I313" s="16"/>
      <c r="J313" s="16"/>
      <c r="K313" s="16"/>
      <c r="L313" s="16"/>
      <c r="M313" s="16"/>
      <c r="AH313" s="16"/>
      <c r="AI313" s="16"/>
      <c r="AJ313" s="16"/>
      <c r="AK313" s="16"/>
      <c r="AL313" s="16"/>
      <c r="AM313" s="16"/>
      <c r="AN313" s="16"/>
      <c r="AO313" s="16"/>
      <c r="AP313" s="16"/>
      <c r="AQ313" s="16"/>
      <c r="AR313" s="16"/>
      <c r="AS313" s="16"/>
    </row>
    <row r="314" spans="1:45" s="8" customFormat="1" x14ac:dyDescent="0.35">
      <c r="A314" s="16"/>
      <c r="B314" s="16"/>
      <c r="C314" s="16"/>
      <c r="D314" s="16"/>
      <c r="E314" s="16"/>
      <c r="F314" s="16"/>
      <c r="G314" s="16"/>
      <c r="H314" s="16"/>
      <c r="I314" s="16"/>
      <c r="J314" s="16"/>
      <c r="K314" s="16"/>
      <c r="L314" s="16"/>
      <c r="M314" s="16"/>
      <c r="AH314" s="16"/>
      <c r="AI314" s="16"/>
      <c r="AJ314" s="16"/>
      <c r="AK314" s="16"/>
      <c r="AL314" s="16"/>
      <c r="AM314" s="16"/>
      <c r="AN314" s="16"/>
      <c r="AO314" s="16"/>
      <c r="AP314" s="16"/>
      <c r="AQ314" s="16"/>
      <c r="AR314" s="16"/>
      <c r="AS314" s="16"/>
    </row>
    <row r="315" spans="1:45" s="8" customFormat="1" x14ac:dyDescent="0.35">
      <c r="A315" s="16"/>
      <c r="B315" s="16"/>
      <c r="C315" s="16"/>
      <c r="D315" s="16"/>
      <c r="E315" s="16"/>
      <c r="F315" s="16"/>
      <c r="G315" s="16"/>
      <c r="H315" s="16"/>
      <c r="I315" s="16"/>
      <c r="J315" s="16"/>
      <c r="K315" s="16"/>
      <c r="L315" s="16"/>
      <c r="M315" s="16"/>
      <c r="AH315" s="16"/>
      <c r="AI315" s="16"/>
      <c r="AJ315" s="16"/>
      <c r="AK315" s="16"/>
      <c r="AL315" s="16"/>
      <c r="AM315" s="16"/>
      <c r="AN315" s="16"/>
      <c r="AO315" s="16"/>
      <c r="AP315" s="16"/>
      <c r="AQ315" s="16"/>
      <c r="AR315" s="16"/>
      <c r="AS315" s="16"/>
    </row>
    <row r="316" spans="1:45" s="8" customFormat="1" x14ac:dyDescent="0.35">
      <c r="A316" s="16"/>
      <c r="B316" s="16"/>
      <c r="C316" s="16"/>
      <c r="D316" s="16"/>
      <c r="E316" s="16"/>
      <c r="F316" s="16"/>
      <c r="G316" s="16"/>
      <c r="H316" s="16"/>
      <c r="I316" s="16"/>
      <c r="J316" s="16"/>
      <c r="K316" s="16"/>
      <c r="L316" s="16"/>
      <c r="M316" s="16"/>
      <c r="AH316" s="16"/>
      <c r="AI316" s="16"/>
      <c r="AJ316" s="16"/>
      <c r="AK316" s="16"/>
      <c r="AL316" s="16"/>
      <c r="AM316" s="16"/>
      <c r="AN316" s="16"/>
      <c r="AO316" s="16"/>
      <c r="AP316" s="16"/>
      <c r="AQ316" s="16"/>
      <c r="AR316" s="16"/>
      <c r="AS316" s="16"/>
    </row>
    <row r="317" spans="1:45" s="8" customFormat="1" x14ac:dyDescent="0.35">
      <c r="A317" s="16"/>
      <c r="B317" s="16"/>
      <c r="C317" s="16"/>
      <c r="D317" s="16"/>
      <c r="E317" s="16"/>
      <c r="F317" s="16"/>
      <c r="G317" s="16"/>
      <c r="H317" s="16"/>
      <c r="I317" s="16"/>
      <c r="J317" s="16"/>
      <c r="K317" s="16"/>
      <c r="L317" s="16"/>
      <c r="M317" s="16"/>
      <c r="AH317" s="16"/>
      <c r="AI317" s="16"/>
      <c r="AJ317" s="16"/>
      <c r="AK317" s="16"/>
      <c r="AL317" s="16"/>
      <c r="AM317" s="16"/>
      <c r="AN317" s="16"/>
      <c r="AO317" s="16"/>
      <c r="AP317" s="16"/>
      <c r="AQ317" s="16"/>
      <c r="AR317" s="16"/>
      <c r="AS317" s="16"/>
    </row>
    <row r="318" spans="1:45" s="8" customFormat="1" x14ac:dyDescent="0.35">
      <c r="A318" s="16"/>
      <c r="B318" s="16"/>
      <c r="C318" s="16"/>
      <c r="D318" s="16"/>
      <c r="E318" s="16"/>
      <c r="F318" s="16"/>
      <c r="G318" s="16"/>
      <c r="H318" s="16"/>
      <c r="I318" s="16"/>
      <c r="J318" s="16"/>
      <c r="K318" s="16"/>
      <c r="L318" s="16"/>
      <c r="M318" s="16"/>
      <c r="AH318" s="16"/>
      <c r="AI318" s="16"/>
      <c r="AJ318" s="16"/>
      <c r="AK318" s="16"/>
      <c r="AL318" s="16"/>
      <c r="AM318" s="16"/>
      <c r="AN318" s="16"/>
      <c r="AO318" s="16"/>
      <c r="AP318" s="16"/>
      <c r="AQ318" s="16"/>
      <c r="AR318" s="16"/>
      <c r="AS318" s="16"/>
    </row>
    <row r="319" spans="1:45" s="8" customFormat="1" x14ac:dyDescent="0.35">
      <c r="A319" s="16"/>
      <c r="B319" s="16"/>
      <c r="C319" s="16"/>
      <c r="D319" s="16"/>
      <c r="E319" s="16"/>
      <c r="F319" s="16"/>
      <c r="G319" s="16"/>
      <c r="H319" s="16"/>
      <c r="I319" s="16"/>
      <c r="J319" s="16"/>
      <c r="K319" s="16"/>
      <c r="L319" s="16"/>
      <c r="M319" s="16"/>
      <c r="AH319" s="16"/>
      <c r="AI319" s="16"/>
      <c r="AJ319" s="16"/>
      <c r="AK319" s="16"/>
      <c r="AL319" s="16"/>
      <c r="AM319" s="16"/>
      <c r="AN319" s="16"/>
      <c r="AO319" s="16"/>
      <c r="AP319" s="16"/>
      <c r="AQ319" s="16"/>
      <c r="AR319" s="16"/>
      <c r="AS319" s="16"/>
    </row>
    <row r="320" spans="1:45" s="8" customFormat="1" x14ac:dyDescent="0.35">
      <c r="A320" s="16"/>
      <c r="B320" s="16"/>
      <c r="C320" s="16"/>
      <c r="D320" s="16"/>
      <c r="E320" s="16"/>
      <c r="F320" s="16"/>
      <c r="G320" s="16"/>
      <c r="H320" s="16"/>
      <c r="I320" s="16"/>
      <c r="J320" s="16"/>
      <c r="K320" s="16"/>
      <c r="L320" s="16"/>
      <c r="M320" s="16"/>
      <c r="AH320" s="16"/>
      <c r="AI320" s="16"/>
      <c r="AJ320" s="16"/>
      <c r="AK320" s="16"/>
      <c r="AL320" s="16"/>
      <c r="AM320" s="16"/>
      <c r="AN320" s="16"/>
      <c r="AO320" s="16"/>
      <c r="AP320" s="16"/>
      <c r="AQ320" s="16"/>
      <c r="AR320" s="16"/>
      <c r="AS320" s="16"/>
    </row>
    <row r="321" spans="1:45" s="8" customFormat="1" x14ac:dyDescent="0.35">
      <c r="A321" s="16"/>
      <c r="B321" s="16"/>
      <c r="C321" s="16"/>
      <c r="D321" s="16"/>
      <c r="E321" s="16"/>
      <c r="F321" s="16"/>
      <c r="G321" s="16"/>
      <c r="H321" s="16"/>
      <c r="I321" s="16"/>
      <c r="J321" s="16"/>
      <c r="K321" s="16"/>
      <c r="L321" s="16"/>
      <c r="M321" s="16"/>
      <c r="AH321" s="16"/>
      <c r="AI321" s="16"/>
      <c r="AJ321" s="16"/>
      <c r="AK321" s="16"/>
      <c r="AL321" s="16"/>
      <c r="AM321" s="16"/>
      <c r="AN321" s="16"/>
      <c r="AO321" s="16"/>
      <c r="AP321" s="16"/>
      <c r="AQ321" s="16"/>
      <c r="AR321" s="16"/>
      <c r="AS321" s="16"/>
    </row>
    <row r="322" spans="1:45" s="8" customFormat="1" x14ac:dyDescent="0.35">
      <c r="A322" s="16"/>
      <c r="B322" s="16"/>
      <c r="C322" s="16"/>
      <c r="D322" s="16"/>
      <c r="E322" s="16"/>
      <c r="F322" s="16"/>
      <c r="G322" s="16"/>
      <c r="H322" s="16"/>
      <c r="I322" s="16"/>
      <c r="J322" s="16"/>
      <c r="K322" s="16"/>
      <c r="L322" s="16"/>
      <c r="M322" s="16"/>
      <c r="AH322" s="16"/>
      <c r="AI322" s="16"/>
      <c r="AJ322" s="16"/>
      <c r="AK322" s="16"/>
      <c r="AL322" s="16"/>
      <c r="AM322" s="16"/>
      <c r="AN322" s="16"/>
      <c r="AO322" s="16"/>
      <c r="AP322" s="16"/>
      <c r="AQ322" s="16"/>
      <c r="AR322" s="16"/>
      <c r="AS322" s="16"/>
    </row>
    <row r="323" spans="1:45" s="8" customFormat="1" x14ac:dyDescent="0.35">
      <c r="A323" s="16"/>
      <c r="B323" s="16"/>
      <c r="C323" s="16"/>
      <c r="D323" s="16"/>
      <c r="E323" s="16"/>
      <c r="F323" s="16"/>
      <c r="G323" s="16"/>
      <c r="H323" s="16"/>
      <c r="I323" s="16"/>
      <c r="J323" s="16"/>
      <c r="K323" s="16"/>
      <c r="L323" s="16"/>
      <c r="M323" s="16"/>
      <c r="AH323" s="16"/>
      <c r="AI323" s="16"/>
      <c r="AJ323" s="16"/>
      <c r="AK323" s="16"/>
      <c r="AL323" s="16"/>
      <c r="AM323" s="16"/>
      <c r="AN323" s="16"/>
      <c r="AO323" s="16"/>
      <c r="AP323" s="16"/>
      <c r="AQ323" s="16"/>
      <c r="AR323" s="16"/>
      <c r="AS323" s="16"/>
    </row>
    <row r="324" spans="1:45" s="8" customFormat="1" x14ac:dyDescent="0.35">
      <c r="A324" s="16"/>
      <c r="B324" s="16"/>
      <c r="C324" s="16"/>
      <c r="D324" s="16"/>
      <c r="E324" s="16"/>
      <c r="F324" s="16"/>
      <c r="G324" s="16"/>
      <c r="H324" s="16"/>
      <c r="I324" s="16"/>
      <c r="J324" s="16"/>
      <c r="K324" s="16"/>
      <c r="L324" s="16"/>
      <c r="M324" s="16"/>
      <c r="AH324" s="16"/>
      <c r="AI324" s="16"/>
      <c r="AJ324" s="16"/>
      <c r="AK324" s="16"/>
      <c r="AL324" s="16"/>
      <c r="AM324" s="16"/>
      <c r="AN324" s="16"/>
      <c r="AO324" s="16"/>
      <c r="AP324" s="16"/>
      <c r="AQ324" s="16"/>
      <c r="AR324" s="16"/>
      <c r="AS324" s="16"/>
    </row>
    <row r="325" spans="1:45" s="8" customFormat="1" x14ac:dyDescent="0.35">
      <c r="A325" s="16"/>
      <c r="B325" s="16"/>
      <c r="C325" s="16"/>
      <c r="D325" s="16"/>
      <c r="E325" s="16"/>
      <c r="F325" s="16"/>
      <c r="G325" s="16"/>
      <c r="H325" s="16"/>
      <c r="I325" s="16"/>
      <c r="J325" s="16"/>
      <c r="K325" s="16"/>
      <c r="L325" s="16"/>
      <c r="M325" s="16"/>
      <c r="AH325" s="16"/>
      <c r="AI325" s="16"/>
      <c r="AJ325" s="16"/>
      <c r="AK325" s="16"/>
      <c r="AL325" s="16"/>
      <c r="AM325" s="16"/>
      <c r="AN325" s="16"/>
      <c r="AO325" s="16"/>
      <c r="AP325" s="16"/>
      <c r="AQ325" s="16"/>
      <c r="AR325" s="16"/>
      <c r="AS325" s="16"/>
    </row>
    <row r="326" spans="1:45" s="8" customFormat="1" x14ac:dyDescent="0.35">
      <c r="A326" s="16"/>
      <c r="B326" s="16"/>
      <c r="C326" s="16"/>
      <c r="D326" s="16"/>
      <c r="E326" s="16"/>
      <c r="F326" s="16"/>
      <c r="G326" s="16"/>
      <c r="H326" s="16"/>
      <c r="I326" s="16"/>
      <c r="J326" s="16"/>
      <c r="K326" s="16"/>
      <c r="L326" s="16"/>
      <c r="M326" s="16"/>
      <c r="AH326" s="16"/>
      <c r="AI326" s="16"/>
      <c r="AJ326" s="16"/>
      <c r="AK326" s="16"/>
      <c r="AL326" s="16"/>
      <c r="AM326" s="16"/>
      <c r="AN326" s="16"/>
      <c r="AO326" s="16"/>
      <c r="AP326" s="16"/>
      <c r="AQ326" s="16"/>
      <c r="AR326" s="16"/>
      <c r="AS326" s="16"/>
    </row>
    <row r="327" spans="1:45" s="8" customFormat="1" x14ac:dyDescent="0.35">
      <c r="A327" s="16"/>
      <c r="B327" s="16"/>
      <c r="C327" s="16"/>
      <c r="D327" s="16"/>
      <c r="E327" s="16"/>
      <c r="F327" s="16"/>
      <c r="G327" s="16"/>
      <c r="H327" s="16"/>
      <c r="I327" s="16"/>
      <c r="J327" s="16"/>
      <c r="K327" s="16"/>
      <c r="L327" s="16"/>
      <c r="M327" s="16"/>
      <c r="AH327" s="16"/>
      <c r="AI327" s="16"/>
      <c r="AJ327" s="16"/>
      <c r="AK327" s="16"/>
      <c r="AL327" s="16"/>
      <c r="AM327" s="16"/>
      <c r="AN327" s="16"/>
      <c r="AO327" s="16"/>
      <c r="AP327" s="16"/>
      <c r="AQ327" s="16"/>
      <c r="AR327" s="16"/>
      <c r="AS327" s="16"/>
    </row>
    <row r="328" spans="1:45" s="8" customFormat="1" x14ac:dyDescent="0.35">
      <c r="A328" s="16"/>
      <c r="B328" s="16"/>
      <c r="C328" s="16"/>
      <c r="D328" s="16"/>
      <c r="E328" s="16"/>
      <c r="F328" s="16"/>
      <c r="G328" s="16"/>
      <c r="H328" s="16"/>
      <c r="I328" s="16"/>
      <c r="J328" s="16"/>
      <c r="K328" s="16"/>
      <c r="L328" s="16"/>
      <c r="M328" s="16"/>
      <c r="AH328" s="16"/>
      <c r="AI328" s="16"/>
      <c r="AJ328" s="16"/>
      <c r="AK328" s="16"/>
      <c r="AL328" s="16"/>
      <c r="AM328" s="16"/>
      <c r="AN328" s="16"/>
      <c r="AO328" s="16"/>
      <c r="AP328" s="16"/>
      <c r="AQ328" s="16"/>
      <c r="AR328" s="16"/>
      <c r="AS328" s="16"/>
    </row>
    <row r="329" spans="1:45" s="8" customFormat="1" x14ac:dyDescent="0.35">
      <c r="A329" s="16"/>
      <c r="B329" s="16"/>
      <c r="C329" s="16"/>
      <c r="D329" s="16"/>
      <c r="E329" s="16"/>
      <c r="F329" s="16"/>
      <c r="G329" s="16"/>
      <c r="H329" s="16"/>
      <c r="I329" s="16"/>
      <c r="J329" s="16"/>
      <c r="K329" s="16"/>
      <c r="L329" s="16"/>
      <c r="M329" s="16"/>
      <c r="AH329" s="16"/>
      <c r="AI329" s="16"/>
      <c r="AJ329" s="16"/>
      <c r="AK329" s="16"/>
      <c r="AL329" s="16"/>
      <c r="AM329" s="16"/>
      <c r="AN329" s="16"/>
      <c r="AO329" s="16"/>
      <c r="AP329" s="16"/>
      <c r="AQ329" s="16"/>
      <c r="AR329" s="16"/>
      <c r="AS329" s="16"/>
    </row>
    <row r="330" spans="1:45" s="8" customFormat="1" x14ac:dyDescent="0.35">
      <c r="A330" s="16"/>
      <c r="B330" s="16"/>
      <c r="C330" s="16"/>
      <c r="D330" s="16"/>
      <c r="E330" s="16"/>
      <c r="F330" s="16"/>
      <c r="G330" s="16"/>
      <c r="H330" s="16"/>
      <c r="I330" s="16"/>
      <c r="J330" s="16"/>
      <c r="K330" s="16"/>
      <c r="L330" s="16"/>
      <c r="M330" s="16"/>
      <c r="AH330" s="16"/>
      <c r="AI330" s="16"/>
      <c r="AJ330" s="16"/>
      <c r="AK330" s="16"/>
      <c r="AL330" s="16"/>
      <c r="AM330" s="16"/>
      <c r="AN330" s="16"/>
      <c r="AO330" s="16"/>
      <c r="AP330" s="16"/>
      <c r="AQ330" s="16"/>
      <c r="AR330" s="16"/>
      <c r="AS330" s="16"/>
    </row>
    <row r="331" spans="1:45" s="8" customFormat="1" x14ac:dyDescent="0.35">
      <c r="A331" s="16"/>
      <c r="B331" s="16"/>
      <c r="C331" s="16"/>
      <c r="D331" s="16"/>
      <c r="E331" s="16"/>
      <c r="F331" s="16"/>
      <c r="G331" s="16"/>
      <c r="H331" s="16"/>
      <c r="I331" s="16"/>
      <c r="J331" s="16"/>
      <c r="K331" s="16"/>
      <c r="L331" s="16"/>
      <c r="M331" s="16"/>
      <c r="AH331" s="16"/>
      <c r="AI331" s="16"/>
      <c r="AJ331" s="16"/>
      <c r="AK331" s="16"/>
      <c r="AL331" s="16"/>
      <c r="AM331" s="16"/>
      <c r="AN331" s="16"/>
      <c r="AO331" s="16"/>
      <c r="AP331" s="16"/>
      <c r="AQ331" s="16"/>
      <c r="AR331" s="16"/>
      <c r="AS331" s="16"/>
    </row>
    <row r="332" spans="1:45" s="8" customFormat="1" x14ac:dyDescent="0.35">
      <c r="A332" s="16"/>
      <c r="B332" s="16"/>
      <c r="C332" s="16"/>
      <c r="D332" s="16"/>
      <c r="E332" s="16"/>
      <c r="F332" s="16"/>
      <c r="G332" s="16"/>
      <c r="H332" s="16"/>
      <c r="I332" s="16"/>
      <c r="J332" s="16"/>
      <c r="K332" s="16"/>
      <c r="L332" s="16"/>
      <c r="M332" s="16"/>
      <c r="AH332" s="16"/>
      <c r="AI332" s="16"/>
      <c r="AJ332" s="16"/>
      <c r="AK332" s="16"/>
      <c r="AL332" s="16"/>
      <c r="AM332" s="16"/>
      <c r="AN332" s="16"/>
      <c r="AO332" s="16"/>
      <c r="AP332" s="16"/>
      <c r="AQ332" s="16"/>
      <c r="AR332" s="16"/>
      <c r="AS332" s="16"/>
    </row>
    <row r="333" spans="1:45" s="8" customFormat="1" x14ac:dyDescent="0.35">
      <c r="A333" s="16"/>
      <c r="B333" s="16"/>
      <c r="C333" s="16"/>
      <c r="D333" s="16"/>
      <c r="E333" s="16"/>
      <c r="F333" s="16"/>
      <c r="G333" s="16"/>
      <c r="H333" s="16"/>
      <c r="I333" s="16"/>
      <c r="J333" s="16"/>
      <c r="K333" s="16"/>
      <c r="L333" s="16"/>
      <c r="M333" s="16"/>
      <c r="AH333" s="16"/>
      <c r="AI333" s="16"/>
      <c r="AJ333" s="16"/>
      <c r="AK333" s="16"/>
      <c r="AL333" s="16"/>
      <c r="AM333" s="16"/>
      <c r="AN333" s="16"/>
      <c r="AO333" s="16"/>
      <c r="AP333" s="16"/>
      <c r="AQ333" s="16"/>
      <c r="AR333" s="16"/>
      <c r="AS333" s="16"/>
    </row>
    <row r="334" spans="1:45" s="8" customFormat="1" x14ac:dyDescent="0.35">
      <c r="A334" s="16"/>
      <c r="B334" s="16"/>
      <c r="C334" s="16"/>
      <c r="D334" s="16"/>
      <c r="E334" s="16"/>
      <c r="F334" s="16"/>
      <c r="G334" s="16"/>
      <c r="H334" s="16"/>
      <c r="I334" s="16"/>
      <c r="J334" s="16"/>
      <c r="K334" s="16"/>
      <c r="L334" s="16"/>
      <c r="M334" s="16"/>
      <c r="AH334" s="16"/>
      <c r="AI334" s="16"/>
      <c r="AJ334" s="16"/>
      <c r="AK334" s="16"/>
      <c r="AL334" s="16"/>
      <c r="AM334" s="16"/>
      <c r="AN334" s="16"/>
      <c r="AO334" s="16"/>
      <c r="AP334" s="16"/>
      <c r="AQ334" s="16"/>
      <c r="AR334" s="16"/>
      <c r="AS334" s="16"/>
    </row>
    <row r="335" spans="1:45" s="8" customFormat="1" x14ac:dyDescent="0.35">
      <c r="A335" s="16"/>
      <c r="B335" s="16"/>
      <c r="C335" s="16"/>
      <c r="D335" s="16"/>
      <c r="E335" s="16"/>
      <c r="F335" s="16"/>
      <c r="G335" s="16"/>
      <c r="H335" s="16"/>
      <c r="I335" s="16"/>
      <c r="J335" s="16"/>
      <c r="K335" s="16"/>
      <c r="L335" s="16"/>
      <c r="M335" s="16"/>
      <c r="AH335" s="16"/>
      <c r="AI335" s="16"/>
      <c r="AJ335" s="16"/>
      <c r="AK335" s="16"/>
      <c r="AL335" s="16"/>
      <c r="AM335" s="16"/>
      <c r="AN335" s="16"/>
      <c r="AO335" s="16"/>
      <c r="AP335" s="16"/>
      <c r="AQ335" s="16"/>
      <c r="AR335" s="16"/>
      <c r="AS335" s="16"/>
    </row>
    <row r="336" spans="1:45" s="8" customFormat="1" x14ac:dyDescent="0.35">
      <c r="A336" s="16"/>
      <c r="B336" s="16"/>
      <c r="C336" s="16"/>
      <c r="D336" s="16"/>
      <c r="E336" s="16"/>
      <c r="F336" s="16"/>
      <c r="G336" s="16"/>
      <c r="H336" s="16"/>
      <c r="I336" s="16"/>
      <c r="J336" s="16"/>
      <c r="K336" s="16"/>
      <c r="L336" s="16"/>
      <c r="M336" s="16"/>
      <c r="AH336" s="16"/>
      <c r="AI336" s="16"/>
      <c r="AJ336" s="16"/>
      <c r="AK336" s="16"/>
      <c r="AL336" s="16"/>
      <c r="AM336" s="16"/>
      <c r="AN336" s="16"/>
      <c r="AO336" s="16"/>
      <c r="AP336" s="16"/>
      <c r="AQ336" s="16"/>
      <c r="AR336" s="16"/>
      <c r="AS336" s="16"/>
    </row>
    <row r="337" spans="1:45" s="8" customFormat="1" x14ac:dyDescent="0.35">
      <c r="A337" s="16"/>
      <c r="B337" s="16"/>
      <c r="C337" s="16"/>
      <c r="D337" s="16"/>
      <c r="E337" s="16"/>
      <c r="F337" s="16"/>
      <c r="G337" s="16"/>
      <c r="H337" s="16"/>
      <c r="I337" s="16"/>
      <c r="J337" s="16"/>
      <c r="K337" s="16"/>
      <c r="L337" s="16"/>
      <c r="M337" s="16"/>
      <c r="AH337" s="16"/>
      <c r="AI337" s="16"/>
      <c r="AJ337" s="16"/>
      <c r="AK337" s="16"/>
      <c r="AL337" s="16"/>
      <c r="AM337" s="16"/>
      <c r="AN337" s="16"/>
      <c r="AO337" s="16"/>
      <c r="AP337" s="16"/>
      <c r="AQ337" s="16"/>
      <c r="AR337" s="16"/>
      <c r="AS337" s="16"/>
    </row>
    <row r="338" spans="1:45" s="8" customFormat="1" x14ac:dyDescent="0.35">
      <c r="A338" s="16"/>
      <c r="B338" s="16"/>
      <c r="C338" s="16"/>
      <c r="D338" s="16"/>
      <c r="E338" s="16"/>
      <c r="F338" s="16"/>
      <c r="G338" s="16"/>
      <c r="H338" s="16"/>
      <c r="I338" s="16"/>
      <c r="J338" s="16"/>
      <c r="K338" s="16"/>
      <c r="L338" s="16"/>
      <c r="M338" s="16"/>
      <c r="AH338" s="16"/>
      <c r="AI338" s="16"/>
      <c r="AJ338" s="16"/>
      <c r="AK338" s="16"/>
      <c r="AL338" s="16"/>
      <c r="AM338" s="16"/>
      <c r="AN338" s="16"/>
      <c r="AO338" s="16"/>
      <c r="AP338" s="16"/>
      <c r="AQ338" s="16"/>
      <c r="AR338" s="16"/>
      <c r="AS338" s="16"/>
    </row>
    <row r="339" spans="1:45" s="8" customFormat="1" x14ac:dyDescent="0.35">
      <c r="A339" s="16"/>
      <c r="B339" s="16"/>
      <c r="C339" s="16"/>
      <c r="D339" s="16"/>
      <c r="E339" s="16"/>
      <c r="F339" s="16"/>
      <c r="G339" s="16"/>
      <c r="H339" s="16"/>
      <c r="I339" s="16"/>
      <c r="J339" s="16"/>
      <c r="K339" s="16"/>
      <c r="L339" s="16"/>
      <c r="M339" s="16"/>
      <c r="AH339" s="16"/>
      <c r="AI339" s="16"/>
      <c r="AJ339" s="16"/>
      <c r="AK339" s="16"/>
      <c r="AL339" s="16"/>
      <c r="AM339" s="16"/>
      <c r="AN339" s="16"/>
      <c r="AO339" s="16"/>
      <c r="AP339" s="16"/>
      <c r="AQ339" s="16"/>
      <c r="AR339" s="16"/>
      <c r="AS339" s="16"/>
    </row>
    <row r="340" spans="1:45" s="8" customFormat="1" x14ac:dyDescent="0.35">
      <c r="A340" s="16"/>
      <c r="B340" s="16"/>
      <c r="C340" s="16"/>
      <c r="D340" s="16"/>
      <c r="E340" s="16"/>
      <c r="F340" s="16"/>
      <c r="G340" s="16"/>
      <c r="H340" s="16"/>
      <c r="I340" s="16"/>
      <c r="J340" s="16"/>
      <c r="K340" s="16"/>
      <c r="L340" s="16"/>
      <c r="M340" s="16"/>
      <c r="AH340" s="16"/>
      <c r="AI340" s="16"/>
      <c r="AJ340" s="16"/>
      <c r="AK340" s="16"/>
      <c r="AL340" s="16"/>
      <c r="AM340" s="16"/>
      <c r="AN340" s="16"/>
      <c r="AO340" s="16"/>
      <c r="AP340" s="16"/>
      <c r="AQ340" s="16"/>
      <c r="AR340" s="16"/>
      <c r="AS340" s="16"/>
    </row>
    <row r="341" spans="1:45" s="8" customFormat="1" x14ac:dyDescent="0.35">
      <c r="A341" s="16"/>
      <c r="B341" s="16"/>
      <c r="C341" s="16"/>
      <c r="D341" s="16"/>
      <c r="E341" s="16"/>
      <c r="F341" s="16"/>
      <c r="G341" s="16"/>
      <c r="H341" s="16"/>
      <c r="I341" s="16"/>
      <c r="J341" s="16"/>
      <c r="K341" s="16"/>
      <c r="L341" s="16"/>
      <c r="M341" s="16"/>
      <c r="AH341" s="16"/>
      <c r="AI341" s="16"/>
      <c r="AJ341" s="16"/>
      <c r="AK341" s="16"/>
      <c r="AL341" s="16"/>
      <c r="AM341" s="16"/>
      <c r="AN341" s="16"/>
      <c r="AO341" s="16"/>
      <c r="AP341" s="16"/>
      <c r="AQ341" s="16"/>
      <c r="AR341" s="16"/>
      <c r="AS341" s="16"/>
    </row>
    <row r="342" spans="1:45" s="8" customFormat="1" x14ac:dyDescent="0.35">
      <c r="A342" s="16"/>
      <c r="B342" s="16"/>
      <c r="C342" s="16"/>
      <c r="D342" s="16"/>
      <c r="E342" s="16"/>
      <c r="F342" s="16"/>
      <c r="G342" s="16"/>
      <c r="H342" s="16"/>
      <c r="I342" s="16"/>
      <c r="J342" s="16"/>
      <c r="K342" s="16"/>
      <c r="L342" s="16"/>
      <c r="M342" s="16"/>
      <c r="AH342" s="16"/>
      <c r="AI342" s="16"/>
      <c r="AJ342" s="16"/>
      <c r="AK342" s="16"/>
      <c r="AL342" s="16"/>
      <c r="AM342" s="16"/>
      <c r="AN342" s="16"/>
      <c r="AO342" s="16"/>
      <c r="AP342" s="16"/>
      <c r="AQ342" s="16"/>
      <c r="AR342" s="16"/>
      <c r="AS342" s="16"/>
    </row>
    <row r="343" spans="1:45" s="8" customFormat="1" x14ac:dyDescent="0.35">
      <c r="A343" s="16"/>
      <c r="B343" s="16"/>
      <c r="C343" s="16"/>
      <c r="D343" s="16"/>
      <c r="E343" s="16"/>
      <c r="F343" s="16"/>
      <c r="G343" s="16"/>
      <c r="H343" s="16"/>
      <c r="I343" s="16"/>
      <c r="J343" s="16"/>
      <c r="K343" s="16"/>
      <c r="L343" s="16"/>
      <c r="M343" s="16"/>
      <c r="AH343" s="16"/>
      <c r="AI343" s="16"/>
      <c r="AJ343" s="16"/>
      <c r="AK343" s="16"/>
      <c r="AL343" s="16"/>
      <c r="AM343" s="16"/>
      <c r="AN343" s="16"/>
      <c r="AO343" s="16"/>
      <c r="AP343" s="16"/>
      <c r="AQ343" s="16"/>
      <c r="AR343" s="16"/>
      <c r="AS343" s="16"/>
    </row>
    <row r="344" spans="1:45" s="8" customFormat="1" x14ac:dyDescent="0.35">
      <c r="A344" s="16"/>
      <c r="B344" s="16"/>
      <c r="C344" s="16"/>
      <c r="D344" s="16"/>
      <c r="E344" s="16"/>
      <c r="F344" s="16"/>
      <c r="G344" s="16"/>
      <c r="H344" s="16"/>
      <c r="I344" s="16"/>
      <c r="J344" s="16"/>
      <c r="K344" s="16"/>
      <c r="L344" s="16"/>
      <c r="M344" s="16"/>
      <c r="AH344" s="16"/>
      <c r="AI344" s="16"/>
      <c r="AJ344" s="16"/>
      <c r="AK344" s="16"/>
      <c r="AL344" s="16"/>
      <c r="AM344" s="16"/>
      <c r="AN344" s="16"/>
      <c r="AO344" s="16"/>
      <c r="AP344" s="16"/>
      <c r="AQ344" s="16"/>
      <c r="AR344" s="16"/>
      <c r="AS344" s="16"/>
    </row>
    <row r="345" spans="1:45" s="8" customFormat="1" x14ac:dyDescent="0.35">
      <c r="A345" s="16"/>
      <c r="B345" s="16"/>
      <c r="C345" s="16"/>
      <c r="D345" s="16"/>
      <c r="E345" s="16"/>
      <c r="F345" s="16"/>
      <c r="G345" s="16"/>
      <c r="H345" s="16"/>
      <c r="I345" s="16"/>
      <c r="J345" s="16"/>
      <c r="K345" s="16"/>
      <c r="L345" s="16"/>
      <c r="M345" s="16"/>
      <c r="AH345" s="16"/>
      <c r="AI345" s="16"/>
      <c r="AJ345" s="16"/>
      <c r="AK345" s="16"/>
      <c r="AL345" s="16"/>
      <c r="AM345" s="16"/>
      <c r="AN345" s="16"/>
      <c r="AO345" s="16"/>
      <c r="AP345" s="16"/>
      <c r="AQ345" s="16"/>
      <c r="AR345" s="16"/>
      <c r="AS345" s="16"/>
    </row>
    <row r="346" spans="1:45" s="8" customFormat="1" x14ac:dyDescent="0.35">
      <c r="A346" s="16"/>
      <c r="B346" s="16"/>
      <c r="C346" s="16"/>
      <c r="D346" s="16"/>
      <c r="E346" s="16"/>
      <c r="F346" s="16"/>
      <c r="G346" s="16"/>
      <c r="H346" s="16"/>
      <c r="I346" s="16"/>
      <c r="J346" s="16"/>
      <c r="K346" s="16"/>
      <c r="L346" s="16"/>
      <c r="M346" s="16"/>
      <c r="AH346" s="16"/>
      <c r="AI346" s="16"/>
      <c r="AJ346" s="16"/>
      <c r="AK346" s="16"/>
      <c r="AL346" s="16"/>
      <c r="AM346" s="16"/>
      <c r="AN346" s="16"/>
      <c r="AO346" s="16"/>
      <c r="AP346" s="16"/>
      <c r="AQ346" s="16"/>
      <c r="AR346" s="16"/>
      <c r="AS346" s="16"/>
    </row>
    <row r="347" spans="1:45" s="8" customFormat="1" x14ac:dyDescent="0.35">
      <c r="A347" s="16"/>
      <c r="B347" s="16"/>
      <c r="C347" s="16"/>
      <c r="D347" s="16"/>
      <c r="E347" s="16"/>
      <c r="F347" s="16"/>
      <c r="G347" s="16"/>
      <c r="H347" s="16"/>
      <c r="I347" s="16"/>
      <c r="J347" s="16"/>
      <c r="K347" s="16"/>
      <c r="L347" s="16"/>
      <c r="M347" s="16"/>
      <c r="AH347" s="16"/>
      <c r="AI347" s="16"/>
      <c r="AJ347" s="16"/>
      <c r="AK347" s="16"/>
      <c r="AL347" s="16"/>
      <c r="AM347" s="16"/>
      <c r="AN347" s="16"/>
      <c r="AO347" s="16"/>
      <c r="AP347" s="16"/>
      <c r="AQ347" s="16"/>
      <c r="AR347" s="16"/>
      <c r="AS347" s="16"/>
    </row>
    <row r="348" spans="1:45" s="8" customFormat="1" x14ac:dyDescent="0.35">
      <c r="A348" s="16"/>
      <c r="B348" s="16"/>
      <c r="C348" s="16"/>
      <c r="D348" s="16"/>
      <c r="E348" s="16"/>
      <c r="F348" s="16"/>
      <c r="G348" s="16"/>
      <c r="H348" s="16"/>
      <c r="I348" s="16"/>
      <c r="J348" s="16"/>
      <c r="K348" s="16"/>
      <c r="L348" s="16"/>
      <c r="M348" s="16"/>
      <c r="AH348" s="16"/>
      <c r="AI348" s="16"/>
      <c r="AJ348" s="16"/>
      <c r="AK348" s="16"/>
      <c r="AL348" s="16"/>
      <c r="AM348" s="16"/>
      <c r="AN348" s="16"/>
      <c r="AO348" s="16"/>
      <c r="AP348" s="16"/>
      <c r="AQ348" s="16"/>
      <c r="AR348" s="16"/>
      <c r="AS348" s="16"/>
    </row>
    <row r="349" spans="1:45" s="8" customFormat="1" x14ac:dyDescent="0.35">
      <c r="A349" s="16"/>
      <c r="B349" s="16"/>
      <c r="C349" s="16"/>
      <c r="D349" s="16"/>
      <c r="E349" s="16"/>
      <c r="F349" s="16"/>
      <c r="G349" s="16"/>
      <c r="H349" s="16"/>
      <c r="I349" s="16"/>
      <c r="J349" s="16"/>
      <c r="K349" s="16"/>
      <c r="L349" s="16"/>
      <c r="M349" s="16"/>
      <c r="AH349" s="16"/>
      <c r="AI349" s="16"/>
      <c r="AJ349" s="16"/>
      <c r="AK349" s="16"/>
      <c r="AL349" s="16"/>
      <c r="AM349" s="16"/>
      <c r="AN349" s="16"/>
      <c r="AO349" s="16"/>
      <c r="AP349" s="16"/>
      <c r="AQ349" s="16"/>
      <c r="AR349" s="16"/>
      <c r="AS349" s="16"/>
    </row>
    <row r="350" spans="1:45" s="8" customFormat="1" x14ac:dyDescent="0.35">
      <c r="A350" s="16"/>
      <c r="B350" s="16"/>
      <c r="C350" s="16"/>
      <c r="D350" s="16"/>
      <c r="E350" s="16"/>
      <c r="F350" s="16"/>
      <c r="G350" s="16"/>
      <c r="H350" s="16"/>
      <c r="I350" s="16"/>
      <c r="J350" s="16"/>
      <c r="K350" s="16"/>
      <c r="L350" s="16"/>
      <c r="M350" s="16"/>
      <c r="AH350" s="16"/>
      <c r="AI350" s="16"/>
      <c r="AJ350" s="16"/>
      <c r="AK350" s="16"/>
      <c r="AL350" s="16"/>
      <c r="AM350" s="16"/>
      <c r="AN350" s="16"/>
      <c r="AO350" s="16"/>
      <c r="AP350" s="16"/>
      <c r="AQ350" s="16"/>
      <c r="AR350" s="16"/>
      <c r="AS350" s="16"/>
    </row>
    <row r="351" spans="1:45" s="8" customFormat="1" x14ac:dyDescent="0.35">
      <c r="A351" s="16"/>
      <c r="B351" s="16"/>
      <c r="C351" s="16"/>
      <c r="D351" s="16"/>
      <c r="E351" s="16"/>
      <c r="F351" s="16"/>
      <c r="G351" s="16"/>
      <c r="H351" s="16"/>
      <c r="I351" s="16"/>
      <c r="J351" s="16"/>
      <c r="K351" s="16"/>
      <c r="L351" s="16"/>
      <c r="M351" s="16"/>
      <c r="AH351" s="16"/>
      <c r="AI351" s="16"/>
      <c r="AJ351" s="16"/>
      <c r="AK351" s="16"/>
      <c r="AL351" s="16"/>
      <c r="AM351" s="16"/>
      <c r="AN351" s="16"/>
      <c r="AO351" s="16"/>
      <c r="AP351" s="16"/>
      <c r="AQ351" s="16"/>
      <c r="AR351" s="16"/>
      <c r="AS351" s="16"/>
    </row>
    <row r="352" spans="1:45" s="8" customFormat="1" x14ac:dyDescent="0.35">
      <c r="A352" s="16"/>
      <c r="B352" s="16"/>
      <c r="C352" s="16"/>
      <c r="D352" s="16"/>
      <c r="E352" s="16"/>
      <c r="F352" s="16"/>
      <c r="G352" s="16"/>
      <c r="H352" s="16"/>
      <c r="I352" s="16"/>
      <c r="J352" s="16"/>
      <c r="K352" s="16"/>
      <c r="L352" s="16"/>
      <c r="M352" s="16"/>
      <c r="AH352" s="16"/>
      <c r="AI352" s="16"/>
      <c r="AJ352" s="16"/>
      <c r="AK352" s="16"/>
      <c r="AL352" s="16"/>
      <c r="AM352" s="16"/>
      <c r="AN352" s="16"/>
      <c r="AO352" s="16"/>
      <c r="AP352" s="16"/>
      <c r="AQ352" s="16"/>
      <c r="AR352" s="16"/>
      <c r="AS352" s="16"/>
    </row>
    <row r="353" spans="1:45" s="8" customFormat="1" x14ac:dyDescent="0.35">
      <c r="A353" s="16"/>
      <c r="B353" s="16"/>
      <c r="C353" s="16"/>
      <c r="D353" s="16"/>
      <c r="E353" s="16"/>
      <c r="F353" s="16"/>
      <c r="G353" s="16"/>
      <c r="H353" s="16"/>
      <c r="I353" s="16"/>
      <c r="J353" s="16"/>
      <c r="K353" s="16"/>
      <c r="L353" s="16"/>
      <c r="M353" s="16"/>
      <c r="AH353" s="16"/>
      <c r="AI353" s="16"/>
      <c r="AJ353" s="16"/>
      <c r="AK353" s="16"/>
      <c r="AL353" s="16"/>
      <c r="AM353" s="16"/>
      <c r="AN353" s="16"/>
      <c r="AO353" s="16"/>
      <c r="AP353" s="16"/>
      <c r="AQ353" s="16"/>
      <c r="AR353" s="16"/>
      <c r="AS353" s="16"/>
    </row>
    <row r="354" spans="1:45" s="8" customFormat="1" x14ac:dyDescent="0.35">
      <c r="A354" s="16"/>
      <c r="B354" s="16"/>
      <c r="C354" s="16"/>
      <c r="D354" s="16"/>
      <c r="E354" s="16"/>
      <c r="F354" s="16"/>
      <c r="G354" s="16"/>
      <c r="H354" s="16"/>
      <c r="I354" s="16"/>
      <c r="J354" s="16"/>
      <c r="K354" s="16"/>
      <c r="L354" s="16"/>
      <c r="M354" s="16"/>
      <c r="AH354" s="16"/>
      <c r="AI354" s="16"/>
      <c r="AJ354" s="16"/>
      <c r="AK354" s="16"/>
      <c r="AL354" s="16"/>
      <c r="AM354" s="16"/>
      <c r="AN354" s="16"/>
      <c r="AO354" s="16"/>
      <c r="AP354" s="16"/>
      <c r="AQ354" s="16"/>
      <c r="AR354" s="16"/>
      <c r="AS354" s="16"/>
    </row>
    <row r="355" spans="1:45" s="8" customFormat="1" x14ac:dyDescent="0.35">
      <c r="A355" s="16"/>
      <c r="B355" s="16"/>
      <c r="C355" s="16"/>
      <c r="D355" s="16"/>
      <c r="E355" s="16"/>
      <c r="F355" s="16"/>
      <c r="G355" s="16"/>
      <c r="H355" s="16"/>
      <c r="I355" s="16"/>
      <c r="J355" s="16"/>
      <c r="K355" s="16"/>
      <c r="L355" s="16"/>
      <c r="M355" s="16"/>
      <c r="AH355" s="16"/>
      <c r="AI355" s="16"/>
      <c r="AJ355" s="16"/>
      <c r="AK355" s="16"/>
      <c r="AL355" s="16"/>
      <c r="AM355" s="16"/>
      <c r="AN355" s="16"/>
      <c r="AO355" s="16"/>
      <c r="AP355" s="16"/>
      <c r="AQ355" s="16"/>
      <c r="AR355" s="16"/>
      <c r="AS355" s="16"/>
    </row>
    <row r="356" spans="1:45" s="8" customFormat="1" x14ac:dyDescent="0.35">
      <c r="A356" s="16"/>
      <c r="B356" s="16"/>
      <c r="C356" s="16"/>
      <c r="D356" s="16"/>
      <c r="E356" s="16"/>
      <c r="F356" s="16"/>
      <c r="G356" s="16"/>
      <c r="H356" s="16"/>
      <c r="I356" s="16"/>
      <c r="J356" s="16"/>
      <c r="K356" s="16"/>
      <c r="L356" s="16"/>
      <c r="M356" s="16"/>
      <c r="AH356" s="16"/>
      <c r="AI356" s="16"/>
      <c r="AJ356" s="16"/>
      <c r="AK356" s="16"/>
      <c r="AL356" s="16"/>
      <c r="AM356" s="16"/>
      <c r="AN356" s="16"/>
      <c r="AO356" s="16"/>
      <c r="AP356" s="16"/>
      <c r="AQ356" s="16"/>
      <c r="AR356" s="16"/>
      <c r="AS356" s="16"/>
    </row>
    <row r="357" spans="1:45" s="8" customFormat="1" x14ac:dyDescent="0.35">
      <c r="A357" s="16"/>
      <c r="B357" s="16"/>
      <c r="C357" s="16"/>
      <c r="D357" s="16"/>
      <c r="E357" s="16"/>
      <c r="F357" s="16"/>
      <c r="G357" s="16"/>
      <c r="H357" s="16"/>
      <c r="I357" s="16"/>
      <c r="J357" s="16"/>
      <c r="K357" s="16"/>
      <c r="L357" s="16"/>
      <c r="M357" s="16"/>
      <c r="AH357" s="16"/>
      <c r="AI357" s="16"/>
      <c r="AJ357" s="16"/>
      <c r="AK357" s="16"/>
      <c r="AL357" s="16"/>
      <c r="AM357" s="16"/>
      <c r="AN357" s="16"/>
      <c r="AO357" s="16"/>
      <c r="AP357" s="16"/>
      <c r="AQ357" s="16"/>
      <c r="AR357" s="16"/>
      <c r="AS357" s="16"/>
    </row>
    <row r="358" spans="1:45" s="8" customFormat="1" x14ac:dyDescent="0.35">
      <c r="A358" s="16"/>
      <c r="B358" s="16"/>
      <c r="C358" s="16"/>
      <c r="D358" s="16"/>
      <c r="E358" s="16"/>
      <c r="F358" s="16"/>
      <c r="G358" s="16"/>
      <c r="H358" s="16"/>
      <c r="I358" s="16"/>
      <c r="J358" s="16"/>
      <c r="K358" s="16"/>
      <c r="L358" s="16"/>
      <c r="M358" s="16"/>
      <c r="AH358" s="16"/>
      <c r="AI358" s="16"/>
      <c r="AJ358" s="16"/>
      <c r="AK358" s="16"/>
      <c r="AL358" s="16"/>
      <c r="AM358" s="16"/>
      <c r="AN358" s="16"/>
      <c r="AO358" s="16"/>
      <c r="AP358" s="16"/>
      <c r="AQ358" s="16"/>
      <c r="AR358" s="16"/>
      <c r="AS358" s="16"/>
    </row>
    <row r="359" spans="1:45" s="8" customFormat="1" x14ac:dyDescent="0.35">
      <c r="A359" s="16"/>
      <c r="B359" s="16"/>
      <c r="C359" s="16"/>
      <c r="D359" s="16"/>
      <c r="E359" s="16"/>
      <c r="F359" s="16"/>
      <c r="G359" s="16"/>
      <c r="H359" s="16"/>
      <c r="I359" s="16"/>
      <c r="J359" s="16"/>
      <c r="K359" s="16"/>
      <c r="L359" s="16"/>
      <c r="M359" s="16"/>
      <c r="AH359" s="16"/>
      <c r="AI359" s="16"/>
      <c r="AJ359" s="16"/>
      <c r="AK359" s="16"/>
      <c r="AL359" s="16"/>
      <c r="AM359" s="16"/>
      <c r="AN359" s="16"/>
      <c r="AO359" s="16"/>
      <c r="AP359" s="16"/>
      <c r="AQ359" s="16"/>
      <c r="AR359" s="16"/>
      <c r="AS359" s="16"/>
    </row>
    <row r="360" spans="1:45" s="8" customFormat="1" x14ac:dyDescent="0.35">
      <c r="A360" s="16"/>
      <c r="B360" s="16"/>
      <c r="C360" s="16"/>
      <c r="D360" s="16"/>
      <c r="E360" s="16"/>
      <c r="F360" s="16"/>
      <c r="G360" s="16"/>
      <c r="H360" s="16"/>
      <c r="I360" s="16"/>
      <c r="J360" s="16"/>
      <c r="K360" s="16"/>
      <c r="L360" s="16"/>
      <c r="M360" s="16"/>
      <c r="AH360" s="16"/>
      <c r="AI360" s="16"/>
      <c r="AJ360" s="16"/>
      <c r="AK360" s="16"/>
      <c r="AL360" s="16"/>
      <c r="AM360" s="16"/>
      <c r="AN360" s="16"/>
      <c r="AO360" s="16"/>
      <c r="AP360" s="16"/>
      <c r="AQ360" s="16"/>
      <c r="AR360" s="16"/>
      <c r="AS360" s="16"/>
    </row>
    <row r="361" spans="1:45" s="8" customFormat="1" x14ac:dyDescent="0.35">
      <c r="A361" s="16"/>
      <c r="B361" s="16"/>
      <c r="C361" s="16"/>
      <c r="D361" s="16"/>
      <c r="E361" s="16"/>
      <c r="F361" s="16"/>
      <c r="G361" s="16"/>
      <c r="H361" s="16"/>
      <c r="I361" s="16"/>
      <c r="J361" s="16"/>
      <c r="K361" s="16"/>
      <c r="L361" s="16"/>
      <c r="M361" s="16"/>
      <c r="AH361" s="16"/>
      <c r="AI361" s="16"/>
      <c r="AJ361" s="16"/>
      <c r="AK361" s="16"/>
      <c r="AL361" s="16"/>
      <c r="AM361" s="16"/>
      <c r="AN361" s="16"/>
      <c r="AO361" s="16"/>
      <c r="AP361" s="16"/>
      <c r="AQ361" s="16"/>
      <c r="AR361" s="16"/>
      <c r="AS361" s="16"/>
    </row>
    <row r="362" spans="1:45" s="8" customFormat="1" x14ac:dyDescent="0.35">
      <c r="A362" s="16"/>
      <c r="B362" s="16"/>
      <c r="C362" s="16"/>
      <c r="D362" s="16"/>
      <c r="E362" s="16"/>
      <c r="F362" s="16"/>
      <c r="G362" s="16"/>
      <c r="H362" s="16"/>
      <c r="I362" s="16"/>
      <c r="J362" s="16"/>
      <c r="K362" s="16"/>
      <c r="L362" s="16"/>
      <c r="M362" s="16"/>
      <c r="AH362" s="16"/>
      <c r="AI362" s="16"/>
      <c r="AJ362" s="16"/>
      <c r="AK362" s="16"/>
      <c r="AL362" s="16"/>
      <c r="AM362" s="16"/>
      <c r="AN362" s="16"/>
      <c r="AO362" s="16"/>
      <c r="AP362" s="16"/>
      <c r="AQ362" s="16"/>
      <c r="AR362" s="16"/>
      <c r="AS362" s="16"/>
    </row>
    <row r="363" spans="1:45" s="8" customFormat="1" x14ac:dyDescent="0.35">
      <c r="A363" s="16"/>
      <c r="B363" s="16"/>
      <c r="C363" s="16"/>
      <c r="D363" s="16"/>
      <c r="E363" s="16"/>
      <c r="F363" s="16"/>
      <c r="G363" s="16"/>
      <c r="H363" s="16"/>
      <c r="I363" s="16"/>
      <c r="J363" s="16"/>
      <c r="K363" s="16"/>
      <c r="L363" s="16"/>
      <c r="M363" s="16"/>
      <c r="AH363" s="16"/>
      <c r="AI363" s="16"/>
      <c r="AJ363" s="16"/>
      <c r="AK363" s="16"/>
      <c r="AL363" s="16"/>
      <c r="AM363" s="16"/>
      <c r="AN363" s="16"/>
      <c r="AO363" s="16"/>
      <c r="AP363" s="16"/>
      <c r="AQ363" s="16"/>
      <c r="AR363" s="16"/>
      <c r="AS363" s="16"/>
    </row>
    <row r="364" spans="1:45" s="8" customFormat="1" x14ac:dyDescent="0.35">
      <c r="A364" s="16"/>
      <c r="B364" s="16"/>
      <c r="C364" s="16"/>
      <c r="D364" s="16"/>
      <c r="E364" s="16"/>
      <c r="F364" s="16"/>
      <c r="G364" s="16"/>
      <c r="H364" s="16"/>
      <c r="I364" s="16"/>
      <c r="J364" s="16"/>
      <c r="K364" s="16"/>
      <c r="L364" s="16"/>
      <c r="M364" s="16"/>
      <c r="AH364" s="16"/>
      <c r="AI364" s="16"/>
      <c r="AJ364" s="16"/>
      <c r="AK364" s="16"/>
      <c r="AL364" s="16"/>
      <c r="AM364" s="16"/>
      <c r="AN364" s="16"/>
      <c r="AO364" s="16"/>
      <c r="AP364" s="16"/>
      <c r="AQ364" s="16"/>
      <c r="AR364" s="16"/>
      <c r="AS364" s="16"/>
    </row>
    <row r="365" spans="1:45" s="8" customFormat="1" x14ac:dyDescent="0.35">
      <c r="A365" s="16"/>
      <c r="B365" s="16"/>
      <c r="C365" s="16"/>
      <c r="D365" s="16"/>
      <c r="E365" s="16"/>
      <c r="F365" s="16"/>
      <c r="G365" s="16"/>
      <c r="H365" s="16"/>
      <c r="I365" s="16"/>
      <c r="J365" s="16"/>
      <c r="K365" s="16"/>
      <c r="L365" s="16"/>
      <c r="M365" s="16"/>
      <c r="AH365" s="16"/>
      <c r="AI365" s="16"/>
      <c r="AJ365" s="16"/>
      <c r="AK365" s="16"/>
      <c r="AL365" s="16"/>
      <c r="AM365" s="16"/>
      <c r="AN365" s="16"/>
      <c r="AO365" s="16"/>
      <c r="AP365" s="16"/>
      <c r="AQ365" s="16"/>
      <c r="AR365" s="16"/>
      <c r="AS365" s="16"/>
    </row>
    <row r="366" spans="1:45" s="8" customFormat="1" x14ac:dyDescent="0.35">
      <c r="A366" s="16"/>
      <c r="B366" s="16"/>
      <c r="C366" s="16"/>
      <c r="D366" s="16"/>
      <c r="E366" s="16"/>
      <c r="F366" s="16"/>
      <c r="G366" s="16"/>
      <c r="H366" s="16"/>
      <c r="I366" s="16"/>
      <c r="J366" s="16"/>
      <c r="K366" s="16"/>
      <c r="L366" s="16"/>
      <c r="M366" s="16"/>
      <c r="AH366" s="16"/>
      <c r="AI366" s="16"/>
      <c r="AJ366" s="16"/>
      <c r="AK366" s="16"/>
      <c r="AL366" s="16"/>
      <c r="AM366" s="16"/>
      <c r="AN366" s="16"/>
      <c r="AO366" s="16"/>
      <c r="AP366" s="16"/>
      <c r="AQ366" s="16"/>
      <c r="AR366" s="16"/>
      <c r="AS366" s="16"/>
    </row>
    <row r="367" spans="1:45" s="8" customFormat="1" x14ac:dyDescent="0.35">
      <c r="A367" s="16"/>
      <c r="B367" s="16"/>
      <c r="C367" s="16"/>
      <c r="D367" s="16"/>
      <c r="E367" s="16"/>
      <c r="F367" s="16"/>
      <c r="G367" s="16"/>
      <c r="H367" s="16"/>
      <c r="I367" s="16"/>
      <c r="J367" s="16"/>
      <c r="K367" s="16"/>
      <c r="L367" s="16"/>
      <c r="M367" s="16"/>
      <c r="AH367" s="16"/>
      <c r="AI367" s="16"/>
      <c r="AJ367" s="16"/>
      <c r="AK367" s="16"/>
      <c r="AL367" s="16"/>
      <c r="AM367" s="16"/>
      <c r="AN367" s="16"/>
      <c r="AO367" s="16"/>
      <c r="AP367" s="16"/>
      <c r="AQ367" s="16"/>
      <c r="AR367" s="16"/>
      <c r="AS367" s="16"/>
    </row>
    <row r="368" spans="1:45" s="8" customFormat="1" x14ac:dyDescent="0.35">
      <c r="A368" s="16"/>
      <c r="B368" s="16"/>
      <c r="C368" s="16"/>
      <c r="D368" s="16"/>
      <c r="E368" s="16"/>
      <c r="F368" s="16"/>
      <c r="G368" s="16"/>
      <c r="H368" s="16"/>
      <c r="I368" s="16"/>
      <c r="J368" s="16"/>
      <c r="K368" s="16"/>
      <c r="L368" s="16"/>
      <c r="M368" s="16"/>
      <c r="AH368" s="16"/>
      <c r="AI368" s="16"/>
      <c r="AJ368" s="16"/>
      <c r="AK368" s="16"/>
      <c r="AL368" s="16"/>
      <c r="AM368" s="16"/>
      <c r="AN368" s="16"/>
      <c r="AO368" s="16"/>
      <c r="AP368" s="16"/>
      <c r="AQ368" s="16"/>
      <c r="AR368" s="16"/>
      <c r="AS368" s="16"/>
    </row>
    <row r="369" spans="1:45" s="8" customFormat="1" x14ac:dyDescent="0.35">
      <c r="A369" s="16"/>
      <c r="B369" s="16"/>
      <c r="C369" s="16"/>
      <c r="D369" s="16"/>
      <c r="E369" s="16"/>
      <c r="F369" s="16"/>
      <c r="G369" s="16"/>
      <c r="H369" s="16"/>
      <c r="I369" s="16"/>
      <c r="J369" s="16"/>
      <c r="K369" s="16"/>
      <c r="L369" s="16"/>
      <c r="M369" s="16"/>
      <c r="AH369" s="16"/>
      <c r="AI369" s="16"/>
      <c r="AJ369" s="16"/>
      <c r="AK369" s="16"/>
      <c r="AL369" s="16"/>
      <c r="AM369" s="16"/>
      <c r="AN369" s="16"/>
      <c r="AO369" s="16"/>
      <c r="AP369" s="16"/>
      <c r="AQ369" s="16"/>
      <c r="AR369" s="16"/>
      <c r="AS369" s="16"/>
    </row>
    <row r="370" spans="1:45" s="8" customFormat="1" x14ac:dyDescent="0.35">
      <c r="A370" s="16"/>
      <c r="B370" s="16"/>
      <c r="C370" s="16"/>
      <c r="D370" s="16"/>
      <c r="E370" s="16"/>
      <c r="F370" s="16"/>
      <c r="G370" s="16"/>
      <c r="H370" s="16"/>
      <c r="I370" s="16"/>
      <c r="J370" s="16"/>
      <c r="K370" s="16"/>
      <c r="L370" s="16"/>
      <c r="M370" s="16"/>
      <c r="AH370" s="16"/>
      <c r="AI370" s="16"/>
      <c r="AJ370" s="16"/>
      <c r="AK370" s="16"/>
      <c r="AL370" s="16"/>
      <c r="AM370" s="16"/>
      <c r="AN370" s="16"/>
      <c r="AO370" s="16"/>
      <c r="AP370" s="16"/>
      <c r="AQ370" s="16"/>
      <c r="AR370" s="16"/>
      <c r="AS370" s="16"/>
    </row>
    <row r="371" spans="1:45" s="8" customFormat="1" x14ac:dyDescent="0.35">
      <c r="A371" s="16"/>
      <c r="B371" s="16"/>
      <c r="C371" s="16"/>
      <c r="D371" s="16"/>
      <c r="E371" s="16"/>
      <c r="F371" s="16"/>
      <c r="G371" s="16"/>
      <c r="H371" s="16"/>
      <c r="I371" s="16"/>
      <c r="J371" s="16"/>
      <c r="K371" s="16"/>
      <c r="L371" s="16"/>
      <c r="M371" s="16"/>
      <c r="AH371" s="16"/>
      <c r="AI371" s="16"/>
      <c r="AJ371" s="16"/>
      <c r="AK371" s="16"/>
      <c r="AL371" s="16"/>
      <c r="AM371" s="16"/>
      <c r="AN371" s="16"/>
      <c r="AO371" s="16"/>
      <c r="AP371" s="16"/>
      <c r="AQ371" s="16"/>
      <c r="AR371" s="16"/>
      <c r="AS371" s="16"/>
    </row>
    <row r="372" spans="1:45" s="8" customFormat="1" x14ac:dyDescent="0.35">
      <c r="A372" s="16"/>
      <c r="B372" s="16"/>
      <c r="C372" s="16"/>
      <c r="D372" s="16"/>
      <c r="E372" s="16"/>
      <c r="F372" s="16"/>
      <c r="G372" s="16"/>
      <c r="H372" s="16"/>
      <c r="I372" s="16"/>
      <c r="J372" s="16"/>
      <c r="K372" s="16"/>
      <c r="L372" s="16"/>
      <c r="M372" s="16"/>
      <c r="AH372" s="16"/>
      <c r="AI372" s="16"/>
      <c r="AJ372" s="16"/>
      <c r="AK372" s="16"/>
      <c r="AL372" s="16"/>
      <c r="AM372" s="16"/>
      <c r="AN372" s="16"/>
      <c r="AO372" s="16"/>
      <c r="AP372" s="16"/>
      <c r="AQ372" s="16"/>
      <c r="AR372" s="16"/>
      <c r="AS372" s="16"/>
    </row>
    <row r="373" spans="1:45" s="8" customFormat="1" x14ac:dyDescent="0.35">
      <c r="A373" s="16"/>
      <c r="B373" s="16"/>
      <c r="C373" s="16"/>
      <c r="D373" s="16"/>
      <c r="E373" s="16"/>
      <c r="F373" s="16"/>
      <c r="G373" s="16"/>
      <c r="H373" s="16"/>
      <c r="I373" s="16"/>
      <c r="J373" s="16"/>
      <c r="K373" s="16"/>
      <c r="L373" s="16"/>
      <c r="M373" s="16"/>
      <c r="AH373" s="16"/>
      <c r="AI373" s="16"/>
      <c r="AJ373" s="16"/>
      <c r="AK373" s="16"/>
      <c r="AL373" s="16"/>
      <c r="AM373" s="16"/>
      <c r="AN373" s="16"/>
      <c r="AO373" s="16"/>
      <c r="AP373" s="16"/>
      <c r="AQ373" s="16"/>
      <c r="AR373" s="16"/>
      <c r="AS373" s="16"/>
    </row>
    <row r="374" spans="1:45" s="8" customFormat="1" x14ac:dyDescent="0.35">
      <c r="A374" s="16"/>
      <c r="B374" s="16"/>
      <c r="C374" s="16"/>
      <c r="D374" s="16"/>
      <c r="E374" s="16"/>
      <c r="F374" s="16"/>
      <c r="G374" s="16"/>
      <c r="H374" s="16"/>
      <c r="I374" s="16"/>
      <c r="J374" s="16"/>
      <c r="K374" s="16"/>
      <c r="L374" s="16"/>
      <c r="M374" s="16"/>
      <c r="AH374" s="16"/>
      <c r="AI374" s="16"/>
      <c r="AJ374" s="16"/>
      <c r="AK374" s="16"/>
      <c r="AL374" s="16"/>
      <c r="AM374" s="16"/>
      <c r="AN374" s="16"/>
      <c r="AO374" s="16"/>
      <c r="AP374" s="16"/>
      <c r="AQ374" s="16"/>
      <c r="AR374" s="16"/>
      <c r="AS374" s="16"/>
    </row>
    <row r="375" spans="1:45" s="8" customFormat="1" x14ac:dyDescent="0.35">
      <c r="A375" s="16"/>
      <c r="B375" s="16"/>
      <c r="C375" s="16"/>
      <c r="D375" s="16"/>
      <c r="E375" s="16"/>
      <c r="F375" s="16"/>
      <c r="G375" s="16"/>
      <c r="H375" s="16"/>
      <c r="I375" s="16"/>
      <c r="J375" s="16"/>
      <c r="K375" s="16"/>
      <c r="L375" s="16"/>
      <c r="M375" s="16"/>
      <c r="AH375" s="16"/>
      <c r="AI375" s="16"/>
      <c r="AJ375" s="16"/>
      <c r="AK375" s="16"/>
      <c r="AL375" s="16"/>
      <c r="AM375" s="16"/>
      <c r="AN375" s="16"/>
      <c r="AO375" s="16"/>
      <c r="AP375" s="16"/>
      <c r="AQ375" s="16"/>
      <c r="AR375" s="16"/>
      <c r="AS375" s="16"/>
    </row>
    <row r="376" spans="1:45" s="8" customFormat="1" x14ac:dyDescent="0.35">
      <c r="A376" s="16"/>
      <c r="B376" s="16"/>
      <c r="C376" s="16"/>
      <c r="D376" s="16"/>
      <c r="E376" s="16"/>
      <c r="F376" s="16"/>
      <c r="G376" s="16"/>
      <c r="H376" s="16"/>
      <c r="I376" s="16"/>
      <c r="J376" s="16"/>
      <c r="K376" s="16"/>
      <c r="L376" s="16"/>
      <c r="M376" s="16"/>
      <c r="AH376" s="16"/>
      <c r="AI376" s="16"/>
      <c r="AJ376" s="16"/>
      <c r="AK376" s="16"/>
      <c r="AL376" s="16"/>
      <c r="AM376" s="16"/>
      <c r="AN376" s="16"/>
      <c r="AO376" s="16"/>
      <c r="AP376" s="16"/>
      <c r="AQ376" s="16"/>
      <c r="AR376" s="16"/>
      <c r="AS376" s="16"/>
    </row>
    <row r="377" spans="1:45" s="8" customFormat="1" x14ac:dyDescent="0.35">
      <c r="A377" s="16"/>
      <c r="B377" s="16"/>
      <c r="C377" s="16"/>
      <c r="D377" s="16"/>
      <c r="E377" s="16"/>
      <c r="F377" s="16"/>
      <c r="G377" s="16"/>
      <c r="H377" s="16"/>
      <c r="I377" s="16"/>
      <c r="J377" s="16"/>
      <c r="K377" s="16"/>
      <c r="L377" s="16"/>
      <c r="M377" s="16"/>
      <c r="AH377" s="16"/>
      <c r="AI377" s="16"/>
      <c r="AJ377" s="16"/>
      <c r="AK377" s="16"/>
      <c r="AL377" s="16"/>
      <c r="AM377" s="16"/>
      <c r="AN377" s="16"/>
      <c r="AO377" s="16"/>
      <c r="AP377" s="16"/>
      <c r="AQ377" s="16"/>
      <c r="AR377" s="16"/>
      <c r="AS377" s="16"/>
    </row>
    <row r="378" spans="1:45" s="8" customFormat="1" x14ac:dyDescent="0.35">
      <c r="A378" s="16"/>
      <c r="B378" s="16"/>
      <c r="C378" s="16"/>
      <c r="D378" s="16"/>
      <c r="E378" s="16"/>
      <c r="F378" s="16"/>
      <c r="G378" s="16"/>
      <c r="H378" s="16"/>
      <c r="I378" s="16"/>
      <c r="J378" s="16"/>
      <c r="K378" s="16"/>
      <c r="L378" s="16"/>
      <c r="M378" s="16"/>
      <c r="AH378" s="16"/>
      <c r="AI378" s="16"/>
      <c r="AJ378" s="16"/>
      <c r="AK378" s="16"/>
      <c r="AL378" s="16"/>
      <c r="AM378" s="16"/>
      <c r="AN378" s="16"/>
      <c r="AO378" s="16"/>
      <c r="AP378" s="16"/>
      <c r="AQ378" s="16"/>
      <c r="AR378" s="16"/>
      <c r="AS378" s="16"/>
    </row>
    <row r="379" spans="1:45" s="8" customFormat="1" x14ac:dyDescent="0.35">
      <c r="A379" s="16"/>
      <c r="B379" s="16"/>
      <c r="C379" s="16"/>
      <c r="D379" s="16"/>
      <c r="E379" s="16"/>
      <c r="F379" s="16"/>
      <c r="G379" s="16"/>
      <c r="H379" s="16"/>
      <c r="I379" s="16"/>
      <c r="J379" s="16"/>
      <c r="K379" s="16"/>
      <c r="L379" s="16"/>
      <c r="M379" s="16"/>
      <c r="AH379" s="16"/>
      <c r="AI379" s="16"/>
      <c r="AJ379" s="16"/>
      <c r="AK379" s="16"/>
      <c r="AL379" s="16"/>
      <c r="AM379" s="16"/>
      <c r="AN379" s="16"/>
      <c r="AO379" s="16"/>
      <c r="AP379" s="16"/>
      <c r="AQ379" s="16"/>
      <c r="AR379" s="16"/>
      <c r="AS379" s="16"/>
    </row>
    <row r="380" spans="1:45" s="8" customFormat="1" x14ac:dyDescent="0.35">
      <c r="A380" s="16"/>
      <c r="B380" s="16"/>
      <c r="C380" s="16"/>
      <c r="D380" s="16"/>
      <c r="E380" s="16"/>
      <c r="F380" s="16"/>
      <c r="G380" s="16"/>
      <c r="H380" s="16"/>
      <c r="I380" s="16"/>
      <c r="J380" s="16"/>
      <c r="K380" s="16"/>
      <c r="L380" s="16"/>
      <c r="M380" s="16"/>
      <c r="AH380" s="16"/>
      <c r="AI380" s="16"/>
      <c r="AJ380" s="16"/>
      <c r="AK380" s="16"/>
      <c r="AL380" s="16"/>
      <c r="AM380" s="16"/>
      <c r="AN380" s="16"/>
      <c r="AO380" s="16"/>
      <c r="AP380" s="16"/>
      <c r="AQ380" s="16"/>
      <c r="AR380" s="16"/>
      <c r="AS380" s="16"/>
    </row>
    <row r="381" spans="1:45" s="8" customFormat="1" x14ac:dyDescent="0.35">
      <c r="A381" s="16"/>
      <c r="B381" s="16"/>
      <c r="C381" s="16"/>
      <c r="D381" s="16"/>
      <c r="E381" s="16"/>
      <c r="F381" s="16"/>
      <c r="G381" s="16"/>
      <c r="H381" s="16"/>
      <c r="I381" s="16"/>
      <c r="J381" s="16"/>
      <c r="K381" s="16"/>
      <c r="L381" s="16"/>
      <c r="M381" s="16"/>
      <c r="AH381" s="16"/>
      <c r="AI381" s="16"/>
      <c r="AJ381" s="16"/>
      <c r="AK381" s="16"/>
      <c r="AL381" s="16"/>
      <c r="AM381" s="16"/>
      <c r="AN381" s="16"/>
      <c r="AO381" s="16"/>
      <c r="AP381" s="16"/>
      <c r="AQ381" s="16"/>
      <c r="AR381" s="16"/>
      <c r="AS381" s="16"/>
    </row>
    <row r="382" spans="1:45" s="8" customFormat="1" x14ac:dyDescent="0.35">
      <c r="A382" s="16"/>
      <c r="B382" s="16"/>
      <c r="C382" s="16"/>
      <c r="D382" s="16"/>
      <c r="E382" s="16"/>
      <c r="F382" s="16"/>
      <c r="G382" s="16"/>
      <c r="H382" s="16"/>
      <c r="I382" s="16"/>
      <c r="J382" s="16"/>
      <c r="K382" s="16"/>
      <c r="L382" s="16"/>
      <c r="M382" s="16"/>
      <c r="AH382" s="16"/>
      <c r="AI382" s="16"/>
      <c r="AJ382" s="16"/>
      <c r="AK382" s="16"/>
      <c r="AL382" s="16"/>
      <c r="AM382" s="16"/>
      <c r="AN382" s="16"/>
      <c r="AO382" s="16"/>
      <c r="AP382" s="16"/>
      <c r="AQ382" s="16"/>
      <c r="AR382" s="16"/>
      <c r="AS382" s="16"/>
    </row>
    <row r="383" spans="1:45" s="8" customFormat="1" x14ac:dyDescent="0.35">
      <c r="A383" s="16"/>
      <c r="B383" s="16"/>
      <c r="C383" s="16"/>
      <c r="D383" s="16"/>
      <c r="E383" s="16"/>
      <c r="F383" s="16"/>
      <c r="G383" s="16"/>
      <c r="H383" s="16"/>
      <c r="I383" s="16"/>
      <c r="J383" s="16"/>
      <c r="K383" s="16"/>
      <c r="L383" s="16"/>
      <c r="M383" s="16"/>
      <c r="AH383" s="16"/>
      <c r="AI383" s="16"/>
      <c r="AJ383" s="16"/>
      <c r="AK383" s="16"/>
      <c r="AL383" s="16"/>
      <c r="AM383" s="16"/>
      <c r="AN383" s="16"/>
      <c r="AO383" s="16"/>
      <c r="AP383" s="16"/>
      <c r="AQ383" s="16"/>
      <c r="AR383" s="16"/>
      <c r="AS383" s="16"/>
    </row>
    <row r="384" spans="1:45" s="8" customFormat="1" x14ac:dyDescent="0.35">
      <c r="A384" s="16"/>
      <c r="B384" s="16"/>
      <c r="C384" s="16"/>
      <c r="D384" s="16"/>
      <c r="E384" s="16"/>
      <c r="F384" s="16"/>
      <c r="G384" s="16"/>
      <c r="H384" s="16"/>
      <c r="I384" s="16"/>
      <c r="J384" s="16"/>
      <c r="K384" s="16"/>
      <c r="L384" s="16"/>
      <c r="M384" s="16"/>
      <c r="AH384" s="16"/>
      <c r="AI384" s="16"/>
      <c r="AJ384" s="16"/>
      <c r="AK384" s="16"/>
      <c r="AL384" s="16"/>
      <c r="AM384" s="16"/>
      <c r="AN384" s="16"/>
      <c r="AO384" s="16"/>
      <c r="AP384" s="16"/>
      <c r="AQ384" s="16"/>
      <c r="AR384" s="16"/>
      <c r="AS384" s="16"/>
    </row>
    <row r="385" spans="1:45" s="8" customFormat="1" x14ac:dyDescent="0.35">
      <c r="A385" s="16"/>
      <c r="B385" s="16"/>
      <c r="C385" s="16"/>
      <c r="D385" s="16"/>
      <c r="E385" s="16"/>
      <c r="F385" s="16"/>
      <c r="G385" s="16"/>
      <c r="H385" s="16"/>
      <c r="I385" s="16"/>
      <c r="J385" s="16"/>
      <c r="K385" s="16"/>
      <c r="L385" s="16"/>
      <c r="M385" s="16"/>
      <c r="AH385" s="16"/>
      <c r="AI385" s="16"/>
      <c r="AJ385" s="16"/>
      <c r="AK385" s="16"/>
      <c r="AL385" s="16"/>
      <c r="AM385" s="16"/>
      <c r="AN385" s="16"/>
      <c r="AO385" s="16"/>
      <c r="AP385" s="16"/>
      <c r="AQ385" s="16"/>
      <c r="AR385" s="16"/>
      <c r="AS385" s="16"/>
    </row>
    <row r="386" spans="1:45" s="8" customFormat="1" x14ac:dyDescent="0.35">
      <c r="A386" s="16"/>
      <c r="B386" s="16"/>
      <c r="C386" s="16"/>
      <c r="D386" s="16"/>
      <c r="E386" s="16"/>
      <c r="F386" s="16"/>
      <c r="G386" s="16"/>
      <c r="H386" s="16"/>
      <c r="I386" s="16"/>
      <c r="J386" s="16"/>
      <c r="K386" s="16"/>
      <c r="L386" s="16"/>
      <c r="M386" s="16"/>
      <c r="AH386" s="16"/>
      <c r="AI386" s="16"/>
      <c r="AJ386" s="16"/>
      <c r="AK386" s="16"/>
      <c r="AL386" s="16"/>
      <c r="AM386" s="16"/>
      <c r="AN386" s="16"/>
      <c r="AO386" s="16"/>
      <c r="AP386" s="16"/>
      <c r="AQ386" s="16"/>
      <c r="AR386" s="16"/>
      <c r="AS386" s="16"/>
    </row>
    <row r="387" spans="1:45" s="8" customFormat="1" x14ac:dyDescent="0.35">
      <c r="A387" s="16"/>
      <c r="B387" s="16"/>
      <c r="C387" s="16"/>
      <c r="D387" s="16"/>
      <c r="E387" s="16"/>
      <c r="F387" s="16"/>
      <c r="G387" s="16"/>
      <c r="H387" s="16"/>
      <c r="I387" s="16"/>
      <c r="J387" s="16"/>
      <c r="K387" s="16"/>
      <c r="L387" s="16"/>
      <c r="M387" s="16"/>
      <c r="AH387" s="16"/>
      <c r="AI387" s="16"/>
      <c r="AJ387" s="16"/>
      <c r="AK387" s="16"/>
      <c r="AL387" s="16"/>
      <c r="AM387" s="16"/>
      <c r="AN387" s="16"/>
      <c r="AO387" s="16"/>
      <c r="AP387" s="16"/>
      <c r="AQ387" s="16"/>
      <c r="AR387" s="16"/>
      <c r="AS387" s="16"/>
    </row>
    <row r="388" spans="1:45" s="8" customFormat="1" x14ac:dyDescent="0.35">
      <c r="A388" s="16"/>
      <c r="B388" s="16"/>
      <c r="C388" s="16"/>
      <c r="D388" s="16"/>
      <c r="E388" s="16"/>
      <c r="F388" s="16"/>
      <c r="G388" s="16"/>
      <c r="H388" s="16"/>
      <c r="I388" s="16"/>
      <c r="J388" s="16"/>
      <c r="K388" s="16"/>
      <c r="L388" s="16"/>
      <c r="M388" s="16"/>
      <c r="AH388" s="16"/>
      <c r="AI388" s="16"/>
      <c r="AJ388" s="16"/>
      <c r="AK388" s="16"/>
      <c r="AL388" s="16"/>
      <c r="AM388" s="16"/>
      <c r="AN388" s="16"/>
      <c r="AO388" s="16"/>
      <c r="AP388" s="16"/>
      <c r="AQ388" s="16"/>
      <c r="AR388" s="16"/>
      <c r="AS388" s="16"/>
    </row>
    <row r="389" spans="1:45" s="8" customFormat="1" x14ac:dyDescent="0.35">
      <c r="A389" s="16"/>
      <c r="B389" s="16"/>
      <c r="C389" s="16"/>
      <c r="D389" s="16"/>
      <c r="E389" s="16"/>
      <c r="F389" s="16"/>
      <c r="G389" s="16"/>
      <c r="H389" s="16"/>
      <c r="I389" s="16"/>
      <c r="J389" s="16"/>
      <c r="K389" s="16"/>
      <c r="L389" s="16"/>
      <c r="M389" s="16"/>
      <c r="AH389" s="16"/>
      <c r="AI389" s="16"/>
      <c r="AJ389" s="16"/>
      <c r="AK389" s="16"/>
      <c r="AL389" s="16"/>
      <c r="AM389" s="16"/>
      <c r="AN389" s="16"/>
      <c r="AO389" s="16"/>
      <c r="AP389" s="16"/>
      <c r="AQ389" s="16"/>
      <c r="AR389" s="16"/>
      <c r="AS389" s="16"/>
    </row>
    <row r="390" spans="1:45" s="8" customFormat="1" x14ac:dyDescent="0.35">
      <c r="A390" s="16"/>
      <c r="B390" s="16"/>
      <c r="C390" s="16"/>
      <c r="D390" s="16"/>
      <c r="E390" s="16"/>
      <c r="F390" s="16"/>
      <c r="G390" s="16"/>
      <c r="H390" s="16"/>
      <c r="I390" s="16"/>
      <c r="J390" s="16"/>
      <c r="K390" s="16"/>
      <c r="L390" s="16"/>
      <c r="M390" s="16"/>
      <c r="AH390" s="16"/>
      <c r="AI390" s="16"/>
      <c r="AJ390" s="16"/>
      <c r="AK390" s="16"/>
      <c r="AL390" s="16"/>
      <c r="AM390" s="16"/>
      <c r="AN390" s="16"/>
      <c r="AO390" s="16"/>
      <c r="AP390" s="16"/>
      <c r="AQ390" s="16"/>
      <c r="AR390" s="16"/>
      <c r="AS390" s="16"/>
    </row>
    <row r="391" spans="1:45" s="8" customFormat="1" x14ac:dyDescent="0.35">
      <c r="A391" s="16"/>
      <c r="B391" s="16"/>
      <c r="C391" s="16"/>
      <c r="D391" s="16"/>
      <c r="E391" s="16"/>
      <c r="F391" s="16"/>
      <c r="G391" s="16"/>
      <c r="H391" s="16"/>
      <c r="I391" s="16"/>
      <c r="J391" s="16"/>
      <c r="K391" s="16"/>
      <c r="L391" s="16"/>
      <c r="M391" s="16"/>
      <c r="AH391" s="16"/>
      <c r="AI391" s="16"/>
      <c r="AJ391" s="16"/>
      <c r="AK391" s="16"/>
      <c r="AL391" s="16"/>
      <c r="AM391" s="16"/>
      <c r="AN391" s="16"/>
      <c r="AO391" s="16"/>
      <c r="AP391" s="16"/>
      <c r="AQ391" s="16"/>
      <c r="AR391" s="16"/>
      <c r="AS391" s="16"/>
    </row>
    <row r="392" spans="1:45" s="8" customFormat="1" x14ac:dyDescent="0.35">
      <c r="A392" s="16"/>
      <c r="B392" s="16"/>
      <c r="C392" s="16"/>
      <c r="D392" s="16"/>
      <c r="E392" s="16"/>
      <c r="F392" s="16"/>
      <c r="G392" s="16"/>
      <c r="H392" s="16"/>
      <c r="I392" s="16"/>
      <c r="J392" s="16"/>
      <c r="K392" s="16"/>
      <c r="L392" s="16"/>
      <c r="M392" s="16"/>
      <c r="AH392" s="16"/>
      <c r="AI392" s="16"/>
      <c r="AJ392" s="16"/>
      <c r="AK392" s="16"/>
      <c r="AL392" s="16"/>
      <c r="AM392" s="16"/>
      <c r="AN392" s="16"/>
      <c r="AO392" s="16"/>
      <c r="AP392" s="16"/>
      <c r="AQ392" s="16"/>
      <c r="AR392" s="16"/>
      <c r="AS392" s="16"/>
    </row>
    <row r="393" spans="1:45" s="8" customFormat="1" x14ac:dyDescent="0.35">
      <c r="A393" s="16"/>
      <c r="B393" s="16"/>
      <c r="C393" s="16"/>
      <c r="D393" s="16"/>
      <c r="E393" s="16"/>
      <c r="F393" s="16"/>
      <c r="G393" s="16"/>
      <c r="H393" s="16"/>
      <c r="I393" s="16"/>
      <c r="J393" s="16"/>
      <c r="K393" s="16"/>
      <c r="L393" s="16"/>
      <c r="M393" s="16"/>
      <c r="AH393" s="16"/>
      <c r="AI393" s="16"/>
      <c r="AJ393" s="16"/>
      <c r="AK393" s="16"/>
      <c r="AL393" s="16"/>
      <c r="AM393" s="16"/>
      <c r="AN393" s="16"/>
      <c r="AO393" s="16"/>
      <c r="AP393" s="16"/>
      <c r="AQ393" s="16"/>
      <c r="AR393" s="16"/>
      <c r="AS393" s="16"/>
    </row>
    <row r="394" spans="1:45" s="8" customFormat="1" x14ac:dyDescent="0.35">
      <c r="A394" s="16"/>
      <c r="B394" s="16"/>
      <c r="C394" s="16"/>
      <c r="D394" s="16"/>
      <c r="E394" s="16"/>
      <c r="F394" s="16"/>
      <c r="G394" s="16"/>
      <c r="H394" s="16"/>
      <c r="I394" s="16"/>
      <c r="J394" s="16"/>
      <c r="K394" s="16"/>
      <c r="L394" s="16"/>
      <c r="M394" s="16"/>
      <c r="AH394" s="16"/>
      <c r="AI394" s="16"/>
      <c r="AJ394" s="16"/>
      <c r="AK394" s="16"/>
      <c r="AL394" s="16"/>
      <c r="AM394" s="16"/>
      <c r="AN394" s="16"/>
      <c r="AO394" s="16"/>
      <c r="AP394" s="16"/>
      <c r="AQ394" s="16"/>
      <c r="AR394" s="16"/>
      <c r="AS394" s="16"/>
    </row>
    <row r="395" spans="1:45" s="8" customFormat="1" x14ac:dyDescent="0.35">
      <c r="A395" s="16"/>
      <c r="B395" s="16"/>
      <c r="C395" s="16"/>
      <c r="D395" s="16"/>
      <c r="E395" s="16"/>
      <c r="F395" s="16"/>
      <c r="G395" s="16"/>
      <c r="H395" s="16"/>
      <c r="I395" s="16"/>
      <c r="J395" s="16"/>
      <c r="K395" s="16"/>
      <c r="L395" s="16"/>
      <c r="M395" s="16"/>
      <c r="AH395" s="16"/>
      <c r="AI395" s="16"/>
      <c r="AJ395" s="16"/>
      <c r="AK395" s="16"/>
      <c r="AL395" s="16"/>
      <c r="AM395" s="16"/>
      <c r="AN395" s="16"/>
      <c r="AO395" s="16"/>
      <c r="AP395" s="16"/>
      <c r="AQ395" s="16"/>
      <c r="AR395" s="16"/>
      <c r="AS395" s="16"/>
    </row>
    <row r="396" spans="1:45" s="8" customFormat="1" x14ac:dyDescent="0.35">
      <c r="A396" s="16"/>
      <c r="B396" s="16"/>
      <c r="C396" s="16"/>
      <c r="D396" s="16"/>
      <c r="E396" s="16"/>
      <c r="F396" s="16"/>
      <c r="G396" s="16"/>
      <c r="H396" s="16"/>
      <c r="I396" s="16"/>
      <c r="J396" s="16"/>
      <c r="K396" s="16"/>
      <c r="L396" s="16"/>
      <c r="M396" s="16"/>
      <c r="AH396" s="16"/>
      <c r="AI396" s="16"/>
      <c r="AJ396" s="16"/>
      <c r="AK396" s="16"/>
      <c r="AL396" s="16"/>
      <c r="AM396" s="16"/>
      <c r="AN396" s="16"/>
      <c r="AO396" s="16"/>
      <c r="AP396" s="16"/>
      <c r="AQ396" s="16"/>
      <c r="AR396" s="16"/>
      <c r="AS396" s="16"/>
    </row>
    <row r="397" spans="1:45" s="8" customFormat="1" x14ac:dyDescent="0.35">
      <c r="A397" s="16"/>
      <c r="B397" s="16"/>
      <c r="C397" s="16"/>
      <c r="D397" s="16"/>
      <c r="E397" s="16"/>
      <c r="F397" s="16"/>
      <c r="G397" s="16"/>
      <c r="H397" s="16"/>
      <c r="I397" s="16"/>
      <c r="J397" s="16"/>
      <c r="K397" s="16"/>
      <c r="L397" s="16"/>
      <c r="M397" s="16"/>
      <c r="AH397" s="16"/>
      <c r="AI397" s="16"/>
      <c r="AJ397" s="16"/>
      <c r="AK397" s="16"/>
      <c r="AL397" s="16"/>
      <c r="AM397" s="16"/>
      <c r="AN397" s="16"/>
      <c r="AO397" s="16"/>
      <c r="AP397" s="16"/>
      <c r="AQ397" s="16"/>
      <c r="AR397" s="16"/>
      <c r="AS397" s="16"/>
    </row>
    <row r="398" spans="1:45" s="8" customFormat="1" x14ac:dyDescent="0.35">
      <c r="A398" s="16"/>
      <c r="B398" s="16"/>
      <c r="C398" s="16"/>
      <c r="D398" s="16"/>
      <c r="E398" s="16"/>
      <c r="F398" s="16"/>
      <c r="G398" s="16"/>
      <c r="H398" s="16"/>
      <c r="I398" s="16"/>
      <c r="J398" s="16"/>
      <c r="K398" s="16"/>
      <c r="L398" s="16"/>
      <c r="M398" s="16"/>
      <c r="AH398" s="16"/>
      <c r="AI398" s="16"/>
      <c r="AJ398" s="16"/>
      <c r="AK398" s="16"/>
      <c r="AL398" s="16"/>
      <c r="AM398" s="16"/>
      <c r="AN398" s="16"/>
      <c r="AO398" s="16"/>
      <c r="AP398" s="16"/>
      <c r="AQ398" s="16"/>
      <c r="AR398" s="16"/>
      <c r="AS398" s="16"/>
    </row>
    <row r="399" spans="1:45" s="8" customFormat="1" x14ac:dyDescent="0.35">
      <c r="A399" s="16"/>
      <c r="B399" s="16"/>
      <c r="C399" s="16"/>
      <c r="D399" s="16"/>
      <c r="E399" s="16"/>
      <c r="F399" s="16"/>
      <c r="G399" s="16"/>
      <c r="H399" s="16"/>
      <c r="I399" s="16"/>
      <c r="J399" s="16"/>
      <c r="K399" s="16"/>
      <c r="L399" s="16"/>
      <c r="M399" s="16"/>
      <c r="AH399" s="16"/>
      <c r="AI399" s="16"/>
      <c r="AJ399" s="16"/>
      <c r="AK399" s="16"/>
      <c r="AL399" s="16"/>
      <c r="AM399" s="16"/>
      <c r="AN399" s="16"/>
      <c r="AO399" s="16"/>
      <c r="AP399" s="16"/>
      <c r="AQ399" s="16"/>
      <c r="AR399" s="16"/>
      <c r="AS399" s="16"/>
    </row>
    <row r="400" spans="1:45" s="8" customFormat="1" x14ac:dyDescent="0.35">
      <c r="A400" s="16"/>
      <c r="B400" s="16"/>
      <c r="C400" s="16"/>
      <c r="D400" s="16"/>
      <c r="E400" s="16"/>
      <c r="F400" s="16"/>
      <c r="G400" s="16"/>
      <c r="H400" s="16"/>
      <c r="I400" s="16"/>
      <c r="J400" s="16"/>
      <c r="K400" s="16"/>
      <c r="L400" s="16"/>
      <c r="M400" s="16"/>
      <c r="AH400" s="16"/>
      <c r="AI400" s="16"/>
      <c r="AJ400" s="16"/>
      <c r="AK400" s="16"/>
      <c r="AL400" s="16"/>
      <c r="AM400" s="16"/>
      <c r="AN400" s="16"/>
      <c r="AO400" s="16"/>
      <c r="AP400" s="16"/>
      <c r="AQ400" s="16"/>
      <c r="AR400" s="16"/>
      <c r="AS400" s="16"/>
    </row>
    <row r="401" spans="1:45" s="8" customFormat="1" x14ac:dyDescent="0.35">
      <c r="A401" s="16"/>
      <c r="B401" s="16"/>
      <c r="C401" s="16"/>
      <c r="D401" s="16"/>
      <c r="E401" s="16"/>
      <c r="F401" s="16"/>
      <c r="G401" s="16"/>
      <c r="H401" s="16"/>
      <c r="I401" s="16"/>
      <c r="J401" s="16"/>
      <c r="K401" s="16"/>
      <c r="L401" s="16"/>
      <c r="M401" s="16"/>
      <c r="AH401" s="16"/>
      <c r="AI401" s="16"/>
      <c r="AJ401" s="16"/>
      <c r="AK401" s="16"/>
      <c r="AL401" s="16"/>
      <c r="AM401" s="16"/>
      <c r="AN401" s="16"/>
      <c r="AO401" s="16"/>
      <c r="AP401" s="16"/>
      <c r="AQ401" s="16"/>
      <c r="AR401" s="16"/>
      <c r="AS401" s="16"/>
    </row>
    <row r="402" spans="1:45" s="8" customFormat="1" x14ac:dyDescent="0.35">
      <c r="A402" s="16"/>
      <c r="B402" s="16"/>
      <c r="C402" s="16"/>
      <c r="D402" s="16"/>
      <c r="E402" s="16"/>
      <c r="F402" s="16"/>
      <c r="G402" s="16"/>
      <c r="H402" s="16"/>
      <c r="I402" s="16"/>
      <c r="J402" s="16"/>
      <c r="K402" s="16"/>
      <c r="L402" s="16"/>
      <c r="M402" s="16"/>
      <c r="AH402" s="16"/>
      <c r="AI402" s="16"/>
      <c r="AJ402" s="16"/>
      <c r="AK402" s="16"/>
      <c r="AL402" s="16"/>
      <c r="AM402" s="16"/>
      <c r="AN402" s="16"/>
      <c r="AO402" s="16"/>
      <c r="AP402" s="16"/>
      <c r="AQ402" s="16"/>
      <c r="AR402" s="16"/>
      <c r="AS402" s="16"/>
    </row>
    <row r="403" spans="1:45" s="8" customFormat="1" x14ac:dyDescent="0.35">
      <c r="A403" s="16"/>
      <c r="B403" s="16"/>
      <c r="C403" s="16"/>
      <c r="D403" s="16"/>
      <c r="E403" s="16"/>
      <c r="F403" s="16"/>
      <c r="G403" s="16"/>
      <c r="H403" s="16"/>
      <c r="I403" s="16"/>
      <c r="J403" s="16"/>
      <c r="K403" s="16"/>
      <c r="L403" s="16"/>
      <c r="M403" s="16"/>
      <c r="AH403" s="16"/>
      <c r="AI403" s="16"/>
      <c r="AJ403" s="16"/>
      <c r="AK403" s="16"/>
      <c r="AL403" s="16"/>
      <c r="AM403" s="16"/>
      <c r="AN403" s="16"/>
      <c r="AO403" s="16"/>
      <c r="AP403" s="16"/>
      <c r="AQ403" s="16"/>
      <c r="AR403" s="16"/>
      <c r="AS403" s="16"/>
    </row>
    <row r="404" spans="1:45" s="8" customFormat="1" x14ac:dyDescent="0.35">
      <c r="A404" s="16"/>
      <c r="B404" s="16"/>
      <c r="C404" s="16"/>
      <c r="D404" s="16"/>
      <c r="E404" s="16"/>
      <c r="F404" s="16"/>
      <c r="G404" s="16"/>
      <c r="H404" s="16"/>
      <c r="I404" s="16"/>
      <c r="J404" s="16"/>
      <c r="K404" s="16"/>
      <c r="L404" s="16"/>
      <c r="M404" s="16"/>
      <c r="AH404" s="16"/>
      <c r="AI404" s="16"/>
      <c r="AJ404" s="16"/>
      <c r="AK404" s="16"/>
      <c r="AL404" s="16"/>
      <c r="AM404" s="16"/>
      <c r="AN404" s="16"/>
      <c r="AO404" s="16"/>
      <c r="AP404" s="16"/>
      <c r="AQ404" s="16"/>
      <c r="AR404" s="16"/>
      <c r="AS404" s="16"/>
    </row>
    <row r="405" spans="1:45" s="8" customFormat="1" x14ac:dyDescent="0.35">
      <c r="A405" s="16"/>
      <c r="B405" s="16"/>
      <c r="C405" s="16"/>
      <c r="D405" s="16"/>
      <c r="E405" s="16"/>
      <c r="F405" s="16"/>
      <c r="G405" s="16"/>
      <c r="H405" s="16"/>
      <c r="I405" s="16"/>
      <c r="J405" s="16"/>
      <c r="K405" s="16"/>
      <c r="L405" s="16"/>
      <c r="M405" s="16"/>
      <c r="AH405" s="16"/>
      <c r="AI405" s="16"/>
      <c r="AJ405" s="16"/>
      <c r="AK405" s="16"/>
      <c r="AL405" s="16"/>
      <c r="AM405" s="16"/>
      <c r="AN405" s="16"/>
      <c r="AO405" s="16"/>
      <c r="AP405" s="16"/>
      <c r="AQ405" s="16"/>
      <c r="AR405" s="16"/>
      <c r="AS405" s="16"/>
    </row>
    <row r="406" spans="1:45" s="8" customFormat="1" x14ac:dyDescent="0.35">
      <c r="A406" s="16"/>
      <c r="B406" s="16"/>
      <c r="C406" s="16"/>
      <c r="D406" s="16"/>
      <c r="E406" s="16"/>
      <c r="F406" s="16"/>
      <c r="G406" s="16"/>
      <c r="H406" s="16"/>
      <c r="I406" s="16"/>
      <c r="J406" s="16"/>
      <c r="K406" s="16"/>
      <c r="L406" s="16"/>
      <c r="M406" s="16"/>
      <c r="AH406" s="16"/>
      <c r="AI406" s="16"/>
      <c r="AJ406" s="16"/>
      <c r="AK406" s="16"/>
      <c r="AL406" s="16"/>
      <c r="AM406" s="16"/>
      <c r="AN406" s="16"/>
      <c r="AO406" s="16"/>
      <c r="AP406" s="16"/>
      <c r="AQ406" s="16"/>
      <c r="AR406" s="16"/>
      <c r="AS406" s="16"/>
    </row>
    <row r="407" spans="1:45" s="8" customFormat="1" x14ac:dyDescent="0.35">
      <c r="A407" s="16"/>
      <c r="B407" s="16"/>
      <c r="C407" s="16"/>
      <c r="D407" s="16"/>
      <c r="E407" s="16"/>
      <c r="F407" s="16"/>
      <c r="G407" s="16"/>
      <c r="H407" s="16"/>
      <c r="I407" s="16"/>
      <c r="J407" s="16"/>
      <c r="K407" s="16"/>
      <c r="L407" s="16"/>
      <c r="M407" s="16"/>
      <c r="AH407" s="16"/>
      <c r="AI407" s="16"/>
      <c r="AJ407" s="16"/>
      <c r="AK407" s="16"/>
      <c r="AL407" s="16"/>
      <c r="AM407" s="16"/>
      <c r="AN407" s="16"/>
      <c r="AO407" s="16"/>
      <c r="AP407" s="16"/>
      <c r="AQ407" s="16"/>
      <c r="AR407" s="16"/>
      <c r="AS407" s="16"/>
    </row>
    <row r="408" spans="1:45" s="8" customFormat="1" x14ac:dyDescent="0.35">
      <c r="A408" s="16"/>
      <c r="B408" s="16"/>
      <c r="C408" s="16"/>
      <c r="D408" s="16"/>
      <c r="E408" s="16"/>
      <c r="F408" s="16"/>
      <c r="G408" s="16"/>
      <c r="H408" s="16"/>
      <c r="I408" s="16"/>
      <c r="J408" s="16"/>
      <c r="K408" s="16"/>
      <c r="L408" s="16"/>
      <c r="M408" s="16"/>
      <c r="AH408" s="16"/>
      <c r="AI408" s="16"/>
      <c r="AJ408" s="16"/>
      <c r="AK408" s="16"/>
      <c r="AL408" s="16"/>
      <c r="AM408" s="16"/>
      <c r="AN408" s="16"/>
      <c r="AO408" s="16"/>
      <c r="AP408" s="16"/>
      <c r="AQ408" s="16"/>
      <c r="AR408" s="16"/>
      <c r="AS408" s="16"/>
    </row>
    <row r="409" spans="1:45" s="8" customFormat="1" x14ac:dyDescent="0.35">
      <c r="A409" s="16"/>
      <c r="B409" s="16"/>
      <c r="C409" s="16"/>
      <c r="D409" s="16"/>
      <c r="E409" s="16"/>
      <c r="F409" s="16"/>
      <c r="G409" s="16"/>
      <c r="H409" s="16"/>
      <c r="I409" s="16"/>
      <c r="J409" s="16"/>
      <c r="K409" s="16"/>
      <c r="L409" s="16"/>
      <c r="M409" s="16"/>
      <c r="AH409" s="16"/>
      <c r="AI409" s="16"/>
      <c r="AJ409" s="16"/>
      <c r="AK409" s="16"/>
      <c r="AL409" s="16"/>
      <c r="AM409" s="16"/>
      <c r="AN409" s="16"/>
      <c r="AO409" s="16"/>
      <c r="AP409" s="16"/>
      <c r="AQ409" s="16"/>
      <c r="AR409" s="16"/>
      <c r="AS409" s="16"/>
    </row>
    <row r="410" spans="1:45" s="8" customFormat="1" x14ac:dyDescent="0.35">
      <c r="A410" s="16"/>
      <c r="B410" s="16"/>
      <c r="C410" s="16"/>
      <c r="D410" s="16"/>
      <c r="E410" s="16"/>
      <c r="F410" s="16"/>
      <c r="G410" s="16"/>
      <c r="H410" s="16"/>
      <c r="I410" s="16"/>
      <c r="J410" s="16"/>
      <c r="K410" s="16"/>
      <c r="L410" s="16"/>
      <c r="M410" s="16"/>
      <c r="AH410" s="16"/>
      <c r="AI410" s="16"/>
      <c r="AJ410" s="16"/>
      <c r="AK410" s="16"/>
      <c r="AL410" s="16"/>
      <c r="AM410" s="16"/>
      <c r="AN410" s="16"/>
      <c r="AO410" s="16"/>
      <c r="AP410" s="16"/>
      <c r="AQ410" s="16"/>
      <c r="AR410" s="16"/>
      <c r="AS410" s="16"/>
    </row>
    <row r="411" spans="1:45" s="8" customFormat="1" x14ac:dyDescent="0.35">
      <c r="A411" s="16"/>
      <c r="B411" s="16"/>
      <c r="C411" s="16"/>
      <c r="D411" s="16"/>
      <c r="E411" s="16"/>
      <c r="F411" s="16"/>
      <c r="G411" s="16"/>
      <c r="H411" s="16"/>
      <c r="I411" s="16"/>
      <c r="J411" s="16"/>
      <c r="K411" s="16"/>
      <c r="L411" s="16"/>
      <c r="M411" s="16"/>
      <c r="AH411" s="16"/>
      <c r="AI411" s="16"/>
      <c r="AJ411" s="16"/>
      <c r="AK411" s="16"/>
      <c r="AL411" s="16"/>
      <c r="AM411" s="16"/>
      <c r="AN411" s="16"/>
      <c r="AO411" s="16"/>
      <c r="AP411" s="16"/>
      <c r="AQ411" s="16"/>
      <c r="AR411" s="16"/>
      <c r="AS411" s="16"/>
    </row>
    <row r="412" spans="1:45" s="8" customFormat="1" x14ac:dyDescent="0.35">
      <c r="A412" s="16"/>
      <c r="B412" s="16"/>
      <c r="C412" s="16"/>
      <c r="D412" s="16"/>
      <c r="E412" s="16"/>
      <c r="F412" s="16"/>
      <c r="G412" s="16"/>
      <c r="H412" s="16"/>
      <c r="I412" s="16"/>
      <c r="J412" s="16"/>
      <c r="K412" s="16"/>
      <c r="L412" s="16"/>
      <c r="M412" s="16"/>
      <c r="AH412" s="16"/>
      <c r="AI412" s="16"/>
      <c r="AJ412" s="16"/>
      <c r="AK412" s="16"/>
      <c r="AL412" s="16"/>
      <c r="AM412" s="16"/>
      <c r="AN412" s="16"/>
      <c r="AO412" s="16"/>
      <c r="AP412" s="16"/>
      <c r="AQ412" s="16"/>
      <c r="AR412" s="16"/>
      <c r="AS412" s="16"/>
    </row>
    <row r="413" spans="1:45" s="8" customFormat="1" x14ac:dyDescent="0.35">
      <c r="A413" s="16"/>
      <c r="B413" s="16"/>
      <c r="C413" s="16"/>
      <c r="D413" s="16"/>
      <c r="E413" s="16"/>
      <c r="F413" s="16"/>
      <c r="G413" s="16"/>
      <c r="H413" s="16"/>
      <c r="I413" s="16"/>
      <c r="J413" s="16"/>
      <c r="K413" s="16"/>
      <c r="L413" s="16"/>
      <c r="M413" s="16"/>
      <c r="AH413" s="16"/>
      <c r="AI413" s="16"/>
      <c r="AJ413" s="16"/>
      <c r="AK413" s="16"/>
      <c r="AL413" s="16"/>
      <c r="AM413" s="16"/>
      <c r="AN413" s="16"/>
      <c r="AO413" s="16"/>
      <c r="AP413" s="16"/>
      <c r="AQ413" s="16"/>
      <c r="AR413" s="16"/>
      <c r="AS413" s="16"/>
    </row>
    <row r="414" spans="1:45" s="8" customFormat="1" x14ac:dyDescent="0.35">
      <c r="A414" s="16"/>
      <c r="B414" s="16"/>
      <c r="C414" s="16"/>
      <c r="D414" s="16"/>
      <c r="E414" s="16"/>
      <c r="F414" s="16"/>
      <c r="G414" s="16"/>
      <c r="H414" s="16"/>
      <c r="I414" s="16"/>
      <c r="J414" s="16"/>
      <c r="K414" s="16"/>
      <c r="L414" s="16"/>
      <c r="M414" s="16"/>
      <c r="AH414" s="16"/>
      <c r="AI414" s="16"/>
      <c r="AJ414" s="16"/>
      <c r="AK414" s="16"/>
      <c r="AL414" s="16"/>
      <c r="AM414" s="16"/>
      <c r="AN414" s="16"/>
      <c r="AO414" s="16"/>
      <c r="AP414" s="16"/>
      <c r="AQ414" s="16"/>
      <c r="AR414" s="16"/>
      <c r="AS414" s="16"/>
    </row>
    <row r="415" spans="1:45" s="8" customFormat="1" x14ac:dyDescent="0.35">
      <c r="A415" s="16"/>
      <c r="B415" s="16"/>
      <c r="C415" s="16"/>
      <c r="D415" s="16"/>
      <c r="E415" s="16"/>
      <c r="F415" s="16"/>
      <c r="G415" s="16"/>
      <c r="H415" s="16"/>
      <c r="I415" s="16"/>
      <c r="J415" s="16"/>
      <c r="K415" s="16"/>
      <c r="L415" s="16"/>
      <c r="M415" s="16"/>
      <c r="AH415" s="16"/>
      <c r="AI415" s="16"/>
      <c r="AJ415" s="16"/>
      <c r="AK415" s="16"/>
      <c r="AL415" s="16"/>
      <c r="AM415" s="16"/>
      <c r="AN415" s="16"/>
      <c r="AO415" s="16"/>
      <c r="AP415" s="16"/>
      <c r="AQ415" s="16"/>
      <c r="AR415" s="16"/>
      <c r="AS415" s="16"/>
    </row>
    <row r="416" spans="1:45" s="8" customFormat="1" x14ac:dyDescent="0.35">
      <c r="A416" s="16"/>
      <c r="B416" s="16"/>
      <c r="C416" s="16"/>
      <c r="D416" s="16"/>
      <c r="E416" s="16"/>
      <c r="F416" s="16"/>
      <c r="G416" s="16"/>
      <c r="H416" s="16"/>
      <c r="I416" s="16"/>
      <c r="J416" s="16"/>
      <c r="K416" s="16"/>
      <c r="L416" s="16"/>
      <c r="M416" s="16"/>
      <c r="AH416" s="16"/>
      <c r="AI416" s="16"/>
      <c r="AJ416" s="16"/>
      <c r="AK416" s="16"/>
      <c r="AL416" s="16"/>
      <c r="AM416" s="16"/>
      <c r="AN416" s="16"/>
      <c r="AO416" s="16"/>
      <c r="AP416" s="16"/>
      <c r="AQ416" s="16"/>
      <c r="AR416" s="16"/>
      <c r="AS416" s="16"/>
    </row>
    <row r="417" spans="1:45" s="8" customFormat="1" x14ac:dyDescent="0.35">
      <c r="A417" s="16"/>
      <c r="B417" s="16"/>
      <c r="C417" s="16"/>
      <c r="D417" s="16"/>
      <c r="E417" s="16"/>
      <c r="F417" s="16"/>
      <c r="G417" s="16"/>
      <c r="H417" s="16"/>
      <c r="I417" s="16"/>
      <c r="J417" s="16"/>
      <c r="K417" s="16"/>
      <c r="L417" s="16"/>
      <c r="M417" s="16"/>
      <c r="AH417" s="16"/>
      <c r="AI417" s="16"/>
      <c r="AJ417" s="16"/>
      <c r="AK417" s="16"/>
      <c r="AL417" s="16"/>
      <c r="AM417" s="16"/>
      <c r="AN417" s="16"/>
      <c r="AO417" s="16"/>
      <c r="AP417" s="16"/>
      <c r="AQ417" s="16"/>
      <c r="AR417" s="16"/>
      <c r="AS417" s="16"/>
    </row>
    <row r="418" spans="1:45" s="8" customFormat="1" x14ac:dyDescent="0.35">
      <c r="A418" s="16"/>
      <c r="B418" s="16"/>
      <c r="C418" s="16"/>
      <c r="D418" s="16"/>
      <c r="E418" s="16"/>
      <c r="F418" s="16"/>
      <c r="G418" s="16"/>
      <c r="H418" s="16"/>
      <c r="I418" s="16"/>
      <c r="J418" s="16"/>
      <c r="K418" s="16"/>
      <c r="L418" s="16"/>
      <c r="M418" s="16"/>
      <c r="AH418" s="16"/>
      <c r="AI418" s="16"/>
      <c r="AJ418" s="16"/>
      <c r="AK418" s="16"/>
      <c r="AL418" s="16"/>
      <c r="AM418" s="16"/>
      <c r="AN418" s="16"/>
      <c r="AO418" s="16"/>
      <c r="AP418" s="16"/>
      <c r="AQ418" s="16"/>
      <c r="AR418" s="16"/>
      <c r="AS418" s="16"/>
    </row>
    <row r="419" spans="1:45" s="8" customFormat="1" x14ac:dyDescent="0.35">
      <c r="A419" s="16"/>
      <c r="B419" s="16"/>
      <c r="C419" s="16"/>
      <c r="D419" s="16"/>
      <c r="E419" s="16"/>
      <c r="F419" s="16"/>
      <c r="G419" s="16"/>
      <c r="H419" s="16"/>
      <c r="I419" s="16"/>
      <c r="J419" s="16"/>
      <c r="K419" s="16"/>
      <c r="L419" s="16"/>
      <c r="M419" s="16"/>
      <c r="AH419" s="16"/>
      <c r="AI419" s="16"/>
      <c r="AJ419" s="16"/>
      <c r="AK419" s="16"/>
      <c r="AL419" s="16"/>
      <c r="AM419" s="16"/>
      <c r="AN419" s="16"/>
      <c r="AO419" s="16"/>
      <c r="AP419" s="16"/>
      <c r="AQ419" s="16"/>
      <c r="AR419" s="16"/>
      <c r="AS419" s="16"/>
    </row>
    <row r="420" spans="1:45" s="8" customFormat="1" x14ac:dyDescent="0.35">
      <c r="A420" s="16"/>
      <c r="B420" s="16"/>
      <c r="C420" s="16"/>
      <c r="D420" s="16"/>
      <c r="E420" s="16"/>
      <c r="F420" s="16"/>
      <c r="G420" s="16"/>
      <c r="H420" s="16"/>
      <c r="I420" s="16"/>
      <c r="J420" s="16"/>
      <c r="K420" s="16"/>
      <c r="L420" s="16"/>
      <c r="M420" s="16"/>
      <c r="AH420" s="16"/>
      <c r="AI420" s="16"/>
      <c r="AJ420" s="16"/>
      <c r="AK420" s="16"/>
      <c r="AL420" s="16"/>
      <c r="AM420" s="16"/>
      <c r="AN420" s="16"/>
      <c r="AO420" s="16"/>
      <c r="AP420" s="16"/>
      <c r="AQ420" s="16"/>
      <c r="AR420" s="16"/>
      <c r="AS420" s="16"/>
    </row>
    <row r="421" spans="1:45" s="8" customFormat="1" x14ac:dyDescent="0.35">
      <c r="A421" s="16"/>
      <c r="B421" s="16"/>
      <c r="C421" s="16"/>
      <c r="D421" s="16"/>
      <c r="E421" s="16"/>
      <c r="F421" s="16"/>
      <c r="G421" s="16"/>
      <c r="H421" s="16"/>
      <c r="I421" s="16"/>
      <c r="J421" s="16"/>
      <c r="K421" s="16"/>
      <c r="L421" s="16"/>
      <c r="M421" s="16"/>
      <c r="AH421" s="16"/>
      <c r="AI421" s="16"/>
      <c r="AJ421" s="16"/>
      <c r="AK421" s="16"/>
      <c r="AL421" s="16"/>
      <c r="AM421" s="16"/>
      <c r="AN421" s="16"/>
      <c r="AO421" s="16"/>
      <c r="AP421" s="16"/>
      <c r="AQ421" s="16"/>
      <c r="AR421" s="16"/>
      <c r="AS421" s="16"/>
    </row>
    <row r="422" spans="1:45" s="8" customFormat="1" x14ac:dyDescent="0.35">
      <c r="A422" s="16"/>
      <c r="B422" s="16"/>
      <c r="C422" s="16"/>
      <c r="D422" s="16"/>
      <c r="E422" s="16"/>
      <c r="F422" s="16"/>
      <c r="G422" s="16"/>
      <c r="H422" s="16"/>
      <c r="I422" s="16"/>
      <c r="J422" s="16"/>
      <c r="K422" s="16"/>
      <c r="L422" s="16"/>
      <c r="M422" s="16"/>
      <c r="AH422" s="16"/>
      <c r="AI422" s="16"/>
      <c r="AJ422" s="16"/>
      <c r="AK422" s="16"/>
      <c r="AL422" s="16"/>
      <c r="AM422" s="16"/>
      <c r="AN422" s="16"/>
      <c r="AO422" s="16"/>
      <c r="AP422" s="16"/>
      <c r="AQ422" s="16"/>
      <c r="AR422" s="16"/>
      <c r="AS422" s="16"/>
    </row>
    <row r="423" spans="1:45" s="8" customFormat="1" x14ac:dyDescent="0.35">
      <c r="A423" s="16"/>
      <c r="B423" s="16"/>
      <c r="C423" s="16"/>
      <c r="D423" s="16"/>
      <c r="E423" s="16"/>
      <c r="F423" s="16"/>
      <c r="G423" s="16"/>
      <c r="H423" s="16"/>
      <c r="I423" s="16"/>
      <c r="J423" s="16"/>
      <c r="K423" s="16"/>
      <c r="L423" s="16"/>
      <c r="M423" s="16"/>
      <c r="AH423" s="16"/>
      <c r="AI423" s="16"/>
      <c r="AJ423" s="16"/>
      <c r="AK423" s="16"/>
      <c r="AL423" s="16"/>
      <c r="AM423" s="16"/>
      <c r="AN423" s="16"/>
      <c r="AO423" s="16"/>
      <c r="AP423" s="16"/>
      <c r="AQ423" s="16"/>
      <c r="AR423" s="16"/>
      <c r="AS423" s="16"/>
    </row>
    <row r="424" spans="1:45" s="8" customFormat="1" x14ac:dyDescent="0.35">
      <c r="A424" s="16"/>
      <c r="B424" s="16"/>
      <c r="C424" s="16"/>
      <c r="D424" s="16"/>
      <c r="E424" s="16"/>
      <c r="F424" s="16"/>
      <c r="G424" s="16"/>
      <c r="H424" s="16"/>
      <c r="I424" s="16"/>
      <c r="J424" s="16"/>
      <c r="K424" s="16"/>
      <c r="L424" s="16"/>
      <c r="M424" s="16"/>
      <c r="AH424" s="16"/>
      <c r="AI424" s="16"/>
      <c r="AJ424" s="16"/>
      <c r="AK424" s="16"/>
      <c r="AL424" s="16"/>
      <c r="AM424" s="16"/>
      <c r="AN424" s="16"/>
      <c r="AO424" s="16"/>
      <c r="AP424" s="16"/>
      <c r="AQ424" s="16"/>
      <c r="AR424" s="16"/>
      <c r="AS424" s="16"/>
    </row>
    <row r="425" spans="1:45" s="8" customFormat="1" x14ac:dyDescent="0.35">
      <c r="A425" s="16"/>
      <c r="B425" s="16"/>
      <c r="C425" s="16"/>
      <c r="D425" s="16"/>
      <c r="E425" s="16"/>
      <c r="F425" s="16"/>
      <c r="G425" s="16"/>
      <c r="H425" s="16"/>
      <c r="I425" s="16"/>
      <c r="J425" s="16"/>
      <c r="K425" s="16"/>
      <c r="L425" s="16"/>
      <c r="M425" s="16"/>
      <c r="AH425" s="16"/>
      <c r="AI425" s="16"/>
      <c r="AJ425" s="16"/>
      <c r="AK425" s="16"/>
      <c r="AL425" s="16"/>
      <c r="AM425" s="16"/>
      <c r="AN425" s="16"/>
      <c r="AO425" s="16"/>
      <c r="AP425" s="16"/>
      <c r="AQ425" s="16"/>
      <c r="AR425" s="16"/>
      <c r="AS425" s="16"/>
    </row>
    <row r="426" spans="1:45" s="8" customFormat="1" x14ac:dyDescent="0.35">
      <c r="A426" s="16"/>
      <c r="B426" s="16"/>
      <c r="C426" s="16"/>
      <c r="D426" s="16"/>
      <c r="E426" s="16"/>
      <c r="F426" s="16"/>
      <c r="G426" s="16"/>
      <c r="H426" s="16"/>
      <c r="I426" s="16"/>
      <c r="J426" s="16"/>
      <c r="K426" s="16"/>
      <c r="L426" s="16"/>
      <c r="M426" s="16"/>
      <c r="AH426" s="16"/>
      <c r="AI426" s="16"/>
      <c r="AJ426" s="16"/>
      <c r="AK426" s="16"/>
      <c r="AL426" s="16"/>
      <c r="AM426" s="16"/>
      <c r="AN426" s="16"/>
      <c r="AO426" s="16"/>
      <c r="AP426" s="16"/>
      <c r="AQ426" s="16"/>
      <c r="AR426" s="16"/>
      <c r="AS426" s="16"/>
    </row>
    <row r="427" spans="1:45" s="8" customFormat="1" x14ac:dyDescent="0.35">
      <c r="A427" s="16"/>
      <c r="B427" s="16"/>
      <c r="C427" s="16"/>
      <c r="D427" s="16"/>
      <c r="E427" s="16"/>
      <c r="F427" s="16"/>
      <c r="G427" s="16"/>
      <c r="H427" s="16"/>
      <c r="I427" s="16"/>
      <c r="J427" s="16"/>
      <c r="K427" s="16"/>
      <c r="L427" s="16"/>
      <c r="M427" s="16"/>
      <c r="AH427" s="16"/>
      <c r="AI427" s="16"/>
      <c r="AJ427" s="16"/>
      <c r="AK427" s="16"/>
      <c r="AL427" s="16"/>
      <c r="AM427" s="16"/>
      <c r="AN427" s="16"/>
      <c r="AO427" s="16"/>
      <c r="AP427" s="16"/>
      <c r="AQ427" s="16"/>
      <c r="AR427" s="16"/>
      <c r="AS427" s="16"/>
    </row>
    <row r="428" spans="1:45" s="8" customFormat="1" x14ac:dyDescent="0.35">
      <c r="A428" s="16"/>
      <c r="B428" s="16"/>
      <c r="C428" s="16"/>
      <c r="D428" s="16"/>
      <c r="E428" s="16"/>
      <c r="F428" s="16"/>
      <c r="G428" s="16"/>
      <c r="H428" s="16"/>
      <c r="I428" s="16"/>
      <c r="J428" s="16"/>
      <c r="K428" s="16"/>
      <c r="L428" s="16"/>
      <c r="M428" s="16"/>
      <c r="AH428" s="16"/>
      <c r="AI428" s="16"/>
      <c r="AJ428" s="16"/>
      <c r="AK428" s="16"/>
      <c r="AL428" s="16"/>
      <c r="AM428" s="16"/>
      <c r="AN428" s="16"/>
      <c r="AO428" s="16"/>
      <c r="AP428" s="16"/>
      <c r="AQ428" s="16"/>
      <c r="AR428" s="16"/>
      <c r="AS428" s="16"/>
    </row>
    <row r="429" spans="1:45" s="8" customFormat="1" x14ac:dyDescent="0.35">
      <c r="A429" s="16"/>
      <c r="B429" s="16"/>
      <c r="C429" s="16"/>
      <c r="D429" s="16"/>
      <c r="E429" s="16"/>
      <c r="F429" s="16"/>
      <c r="G429" s="16"/>
      <c r="H429" s="16"/>
      <c r="I429" s="16"/>
      <c r="J429" s="16"/>
      <c r="K429" s="16"/>
      <c r="L429" s="16"/>
      <c r="M429" s="16"/>
      <c r="AH429" s="16"/>
      <c r="AI429" s="16"/>
      <c r="AJ429" s="16"/>
      <c r="AK429" s="16"/>
      <c r="AL429" s="16"/>
      <c r="AM429" s="16"/>
      <c r="AN429" s="16"/>
      <c r="AO429" s="16"/>
      <c r="AP429" s="16"/>
      <c r="AQ429" s="16"/>
      <c r="AR429" s="16"/>
      <c r="AS429" s="16"/>
    </row>
    <row r="430" spans="1:45" s="8" customFormat="1" x14ac:dyDescent="0.35">
      <c r="A430" s="16"/>
      <c r="B430" s="16"/>
      <c r="C430" s="16"/>
      <c r="D430" s="16"/>
      <c r="E430" s="16"/>
      <c r="F430" s="16"/>
      <c r="G430" s="16"/>
      <c r="H430" s="16"/>
      <c r="I430" s="16"/>
      <c r="J430" s="16"/>
      <c r="K430" s="16"/>
      <c r="L430" s="16"/>
      <c r="M430" s="16"/>
      <c r="AH430" s="16"/>
      <c r="AI430" s="16"/>
      <c r="AJ430" s="16"/>
      <c r="AK430" s="16"/>
      <c r="AL430" s="16"/>
      <c r="AM430" s="16"/>
      <c r="AN430" s="16"/>
      <c r="AO430" s="16"/>
      <c r="AP430" s="16"/>
      <c r="AQ430" s="16"/>
      <c r="AR430" s="16"/>
      <c r="AS430" s="16"/>
    </row>
    <row r="431" spans="1:45" s="8" customFormat="1" x14ac:dyDescent="0.35">
      <c r="A431" s="16"/>
      <c r="B431" s="16"/>
      <c r="C431" s="16"/>
      <c r="D431" s="16"/>
      <c r="E431" s="16"/>
      <c r="F431" s="16"/>
      <c r="G431" s="16"/>
      <c r="H431" s="16"/>
      <c r="I431" s="16"/>
      <c r="J431" s="16"/>
      <c r="K431" s="16"/>
      <c r="L431" s="16"/>
      <c r="M431" s="16"/>
      <c r="AH431" s="16"/>
      <c r="AI431" s="16"/>
      <c r="AJ431" s="16"/>
      <c r="AK431" s="16"/>
      <c r="AL431" s="16"/>
      <c r="AM431" s="16"/>
      <c r="AN431" s="16"/>
      <c r="AO431" s="16"/>
      <c r="AP431" s="16"/>
      <c r="AQ431" s="16"/>
      <c r="AR431" s="16"/>
      <c r="AS431" s="16"/>
    </row>
    <row r="432" spans="1:45" s="8" customFormat="1" x14ac:dyDescent="0.35">
      <c r="A432" s="16"/>
      <c r="B432" s="16"/>
      <c r="C432" s="16"/>
      <c r="D432" s="16"/>
      <c r="E432" s="16"/>
      <c r="F432" s="16"/>
      <c r="G432" s="16"/>
      <c r="H432" s="16"/>
      <c r="I432" s="16"/>
      <c r="J432" s="16"/>
      <c r="K432" s="16"/>
      <c r="L432" s="16"/>
      <c r="M432" s="16"/>
      <c r="AH432" s="16"/>
      <c r="AI432" s="16"/>
      <c r="AJ432" s="16"/>
      <c r="AK432" s="16"/>
      <c r="AL432" s="16"/>
      <c r="AM432" s="16"/>
      <c r="AN432" s="16"/>
      <c r="AO432" s="16"/>
      <c r="AP432" s="16"/>
      <c r="AQ432" s="16"/>
      <c r="AR432" s="16"/>
      <c r="AS432" s="16"/>
    </row>
    <row r="433" spans="1:45" s="8" customFormat="1" x14ac:dyDescent="0.35">
      <c r="A433" s="16"/>
      <c r="B433" s="16"/>
      <c r="C433" s="16"/>
      <c r="D433" s="16"/>
      <c r="E433" s="16"/>
      <c r="F433" s="16"/>
      <c r="G433" s="16"/>
      <c r="H433" s="16"/>
      <c r="I433" s="16"/>
      <c r="J433" s="16"/>
      <c r="K433" s="16"/>
      <c r="L433" s="16"/>
      <c r="M433" s="16"/>
      <c r="AH433" s="16"/>
      <c r="AI433" s="16"/>
      <c r="AJ433" s="16"/>
      <c r="AK433" s="16"/>
      <c r="AL433" s="16"/>
      <c r="AM433" s="16"/>
      <c r="AN433" s="16"/>
      <c r="AO433" s="16"/>
      <c r="AP433" s="16"/>
      <c r="AQ433" s="16"/>
      <c r="AR433" s="16"/>
      <c r="AS433" s="16"/>
    </row>
    <row r="434" spans="1:45" s="8" customFormat="1" x14ac:dyDescent="0.35">
      <c r="A434" s="16"/>
      <c r="B434" s="16"/>
      <c r="C434" s="16"/>
      <c r="D434" s="16"/>
      <c r="E434" s="16"/>
      <c r="F434" s="16"/>
      <c r="G434" s="16"/>
      <c r="H434" s="16"/>
      <c r="I434" s="16"/>
      <c r="J434" s="16"/>
      <c r="K434" s="16"/>
      <c r="L434" s="16"/>
      <c r="M434" s="16"/>
      <c r="AH434" s="16"/>
      <c r="AI434" s="16"/>
      <c r="AJ434" s="16"/>
      <c r="AK434" s="16"/>
      <c r="AL434" s="16"/>
      <c r="AM434" s="16"/>
      <c r="AN434" s="16"/>
      <c r="AO434" s="16"/>
      <c r="AP434" s="16"/>
      <c r="AQ434" s="16"/>
      <c r="AR434" s="16"/>
      <c r="AS434" s="16"/>
    </row>
    <row r="435" spans="1:45" s="8" customFormat="1" x14ac:dyDescent="0.35">
      <c r="A435" s="16"/>
      <c r="B435" s="16"/>
      <c r="C435" s="16"/>
      <c r="D435" s="16"/>
      <c r="E435" s="16"/>
      <c r="F435" s="16"/>
      <c r="G435" s="16"/>
      <c r="H435" s="16"/>
      <c r="I435" s="16"/>
      <c r="J435" s="16"/>
      <c r="K435" s="16"/>
      <c r="L435" s="16"/>
      <c r="M435" s="16"/>
      <c r="AH435" s="16"/>
      <c r="AI435" s="16"/>
      <c r="AJ435" s="16"/>
      <c r="AK435" s="16"/>
      <c r="AL435" s="16"/>
      <c r="AM435" s="16"/>
      <c r="AN435" s="16"/>
      <c r="AO435" s="16"/>
      <c r="AP435" s="16"/>
      <c r="AQ435" s="16"/>
      <c r="AR435" s="16"/>
      <c r="AS435" s="16"/>
    </row>
    <row r="436" spans="1:45" s="8" customFormat="1" x14ac:dyDescent="0.35">
      <c r="A436" s="16"/>
      <c r="B436" s="16"/>
      <c r="C436" s="16"/>
      <c r="D436" s="16"/>
      <c r="E436" s="16"/>
      <c r="F436" s="16"/>
      <c r="G436" s="16"/>
      <c r="H436" s="16"/>
      <c r="I436" s="16"/>
      <c r="J436" s="16"/>
      <c r="K436" s="16"/>
      <c r="L436" s="16"/>
      <c r="M436" s="16"/>
      <c r="AH436" s="16"/>
      <c r="AI436" s="16"/>
      <c r="AJ436" s="16"/>
      <c r="AK436" s="16"/>
      <c r="AL436" s="16"/>
      <c r="AM436" s="16"/>
      <c r="AN436" s="16"/>
      <c r="AO436" s="16"/>
      <c r="AP436" s="16"/>
      <c r="AQ436" s="16"/>
      <c r="AR436" s="16"/>
      <c r="AS436" s="16"/>
    </row>
    <row r="437" spans="1:45" s="8" customFormat="1" x14ac:dyDescent="0.35">
      <c r="A437" s="16"/>
      <c r="B437" s="16"/>
      <c r="C437" s="16"/>
      <c r="D437" s="16"/>
      <c r="E437" s="16"/>
      <c r="F437" s="16"/>
      <c r="G437" s="16"/>
      <c r="H437" s="16"/>
      <c r="I437" s="16"/>
      <c r="J437" s="16"/>
      <c r="K437" s="16"/>
      <c r="L437" s="16"/>
      <c r="M437" s="16"/>
      <c r="AH437" s="16"/>
      <c r="AI437" s="16"/>
      <c r="AJ437" s="16"/>
      <c r="AK437" s="16"/>
      <c r="AL437" s="16"/>
      <c r="AM437" s="16"/>
      <c r="AN437" s="16"/>
      <c r="AO437" s="16"/>
      <c r="AP437" s="16"/>
      <c r="AQ437" s="16"/>
      <c r="AR437" s="16"/>
      <c r="AS437" s="16"/>
    </row>
    <row r="438" spans="1:45" s="8" customFormat="1" x14ac:dyDescent="0.35">
      <c r="A438" s="16"/>
      <c r="B438" s="16"/>
      <c r="C438" s="16"/>
      <c r="D438" s="16"/>
      <c r="E438" s="16"/>
      <c r="F438" s="16"/>
      <c r="G438" s="16"/>
      <c r="H438" s="16"/>
      <c r="I438" s="16"/>
      <c r="J438" s="16"/>
      <c r="K438" s="16"/>
      <c r="L438" s="16"/>
      <c r="M438" s="16"/>
      <c r="AH438" s="16"/>
      <c r="AI438" s="16"/>
      <c r="AJ438" s="16"/>
      <c r="AK438" s="16"/>
      <c r="AL438" s="16"/>
      <c r="AM438" s="16"/>
      <c r="AN438" s="16"/>
      <c r="AO438" s="16"/>
      <c r="AP438" s="16"/>
      <c r="AQ438" s="16"/>
      <c r="AR438" s="16"/>
      <c r="AS438" s="16"/>
    </row>
    <row r="439" spans="1:45" s="8" customFormat="1" x14ac:dyDescent="0.35">
      <c r="A439" s="16"/>
      <c r="B439" s="16"/>
      <c r="C439" s="16"/>
      <c r="D439" s="16"/>
      <c r="E439" s="16"/>
      <c r="F439" s="16"/>
      <c r="G439" s="16"/>
      <c r="H439" s="16"/>
      <c r="I439" s="16"/>
      <c r="J439" s="16"/>
      <c r="K439" s="16"/>
      <c r="L439" s="16"/>
      <c r="M439" s="16"/>
      <c r="AH439" s="16"/>
      <c r="AI439" s="16"/>
      <c r="AJ439" s="16"/>
      <c r="AK439" s="16"/>
      <c r="AL439" s="16"/>
      <c r="AM439" s="16"/>
      <c r="AN439" s="16"/>
      <c r="AO439" s="16"/>
      <c r="AP439" s="16"/>
      <c r="AQ439" s="16"/>
      <c r="AR439" s="16"/>
      <c r="AS439" s="16"/>
    </row>
    <row r="440" spans="1:45" s="8" customFormat="1" x14ac:dyDescent="0.35">
      <c r="A440" s="16"/>
      <c r="B440" s="16"/>
      <c r="C440" s="16"/>
      <c r="D440" s="16"/>
      <c r="E440" s="16"/>
      <c r="F440" s="16"/>
      <c r="G440" s="16"/>
      <c r="H440" s="16"/>
      <c r="I440" s="16"/>
      <c r="J440" s="16"/>
      <c r="K440" s="16"/>
      <c r="L440" s="16"/>
      <c r="M440" s="16"/>
      <c r="AH440" s="16"/>
      <c r="AI440" s="16"/>
      <c r="AJ440" s="16"/>
      <c r="AK440" s="16"/>
      <c r="AL440" s="16"/>
      <c r="AM440" s="16"/>
      <c r="AN440" s="16"/>
      <c r="AO440" s="16"/>
      <c r="AP440" s="16"/>
      <c r="AQ440" s="16"/>
      <c r="AR440" s="16"/>
      <c r="AS440" s="16"/>
    </row>
    <row r="441" spans="1:45" s="8" customFormat="1" x14ac:dyDescent="0.35">
      <c r="A441" s="16"/>
      <c r="B441" s="16"/>
      <c r="C441" s="16"/>
      <c r="D441" s="16"/>
      <c r="E441" s="16"/>
      <c r="F441" s="16"/>
      <c r="G441" s="16"/>
      <c r="H441" s="16"/>
      <c r="I441" s="16"/>
      <c r="J441" s="16"/>
      <c r="K441" s="16"/>
      <c r="L441" s="16"/>
      <c r="M441" s="16"/>
      <c r="AH441" s="16"/>
      <c r="AI441" s="16"/>
      <c r="AJ441" s="16"/>
      <c r="AK441" s="16"/>
      <c r="AL441" s="16"/>
      <c r="AM441" s="16"/>
      <c r="AN441" s="16"/>
      <c r="AO441" s="16"/>
      <c r="AP441" s="16"/>
      <c r="AQ441" s="16"/>
      <c r="AR441" s="16"/>
      <c r="AS441" s="16"/>
    </row>
    <row r="442" spans="1:45" s="8" customFormat="1" x14ac:dyDescent="0.35">
      <c r="A442" s="16"/>
      <c r="B442" s="16"/>
      <c r="C442" s="16"/>
      <c r="D442" s="16"/>
      <c r="E442" s="16"/>
      <c r="F442" s="16"/>
      <c r="G442" s="16"/>
      <c r="H442" s="16"/>
      <c r="I442" s="16"/>
      <c r="J442" s="16"/>
      <c r="K442" s="16"/>
      <c r="L442" s="16"/>
      <c r="M442" s="16"/>
      <c r="AH442" s="16"/>
      <c r="AI442" s="16"/>
      <c r="AJ442" s="16"/>
      <c r="AK442" s="16"/>
      <c r="AL442" s="16"/>
      <c r="AM442" s="16"/>
      <c r="AN442" s="16"/>
      <c r="AO442" s="16"/>
      <c r="AP442" s="16"/>
      <c r="AQ442" s="16"/>
      <c r="AR442" s="16"/>
      <c r="AS442" s="16"/>
    </row>
    <row r="443" spans="1:45" s="8" customFormat="1" x14ac:dyDescent="0.35">
      <c r="A443" s="16"/>
      <c r="B443" s="16"/>
      <c r="C443" s="16"/>
      <c r="D443" s="16"/>
      <c r="E443" s="16"/>
      <c r="F443" s="16"/>
      <c r="G443" s="16"/>
      <c r="H443" s="16"/>
      <c r="I443" s="16"/>
      <c r="J443" s="16"/>
      <c r="K443" s="16"/>
      <c r="L443" s="16"/>
      <c r="M443" s="16"/>
      <c r="AH443" s="16"/>
      <c r="AI443" s="16"/>
      <c r="AJ443" s="16"/>
      <c r="AK443" s="16"/>
      <c r="AL443" s="16"/>
      <c r="AM443" s="16"/>
      <c r="AN443" s="16"/>
      <c r="AO443" s="16"/>
      <c r="AP443" s="16"/>
      <c r="AQ443" s="16"/>
      <c r="AR443" s="16"/>
      <c r="AS443" s="16"/>
    </row>
    <row r="444" spans="1:45" s="8" customFormat="1" x14ac:dyDescent="0.35">
      <c r="A444" s="16"/>
      <c r="B444" s="16"/>
      <c r="C444" s="16"/>
      <c r="D444" s="16"/>
      <c r="E444" s="16"/>
      <c r="F444" s="16"/>
      <c r="G444" s="16"/>
      <c r="H444" s="16"/>
      <c r="I444" s="16"/>
      <c r="J444" s="16"/>
      <c r="K444" s="16"/>
      <c r="L444" s="16"/>
      <c r="M444" s="16"/>
      <c r="AH444" s="16"/>
      <c r="AI444" s="16"/>
      <c r="AJ444" s="16"/>
      <c r="AK444" s="16"/>
      <c r="AL444" s="16"/>
      <c r="AM444" s="16"/>
      <c r="AN444" s="16"/>
      <c r="AO444" s="16"/>
      <c r="AP444" s="16"/>
      <c r="AQ444" s="16"/>
      <c r="AR444" s="16"/>
      <c r="AS444" s="16"/>
    </row>
    <row r="445" spans="1:45" s="8" customFormat="1" x14ac:dyDescent="0.35">
      <c r="A445" s="16"/>
      <c r="B445" s="16"/>
      <c r="C445" s="16"/>
      <c r="D445" s="16"/>
      <c r="E445" s="16"/>
      <c r="F445" s="16"/>
      <c r="G445" s="16"/>
      <c r="H445" s="16"/>
      <c r="I445" s="16"/>
      <c r="J445" s="16"/>
      <c r="K445" s="16"/>
      <c r="L445" s="16"/>
      <c r="M445" s="16"/>
      <c r="AH445" s="16"/>
      <c r="AI445" s="16"/>
      <c r="AJ445" s="16"/>
      <c r="AK445" s="16"/>
      <c r="AL445" s="16"/>
      <c r="AM445" s="16"/>
      <c r="AN445" s="16"/>
      <c r="AO445" s="16"/>
      <c r="AP445" s="16"/>
      <c r="AQ445" s="16"/>
      <c r="AR445" s="16"/>
      <c r="AS445" s="16"/>
    </row>
    <row r="446" spans="1:45" s="8" customFormat="1" x14ac:dyDescent="0.35">
      <c r="A446" s="16"/>
      <c r="B446" s="16"/>
      <c r="C446" s="16"/>
      <c r="D446" s="16"/>
      <c r="E446" s="16"/>
      <c r="F446" s="16"/>
      <c r="G446" s="16"/>
      <c r="H446" s="16"/>
      <c r="I446" s="16"/>
      <c r="J446" s="16"/>
      <c r="K446" s="16"/>
      <c r="L446" s="16"/>
      <c r="M446" s="16"/>
      <c r="AH446" s="16"/>
      <c r="AI446" s="16"/>
      <c r="AJ446" s="16"/>
      <c r="AK446" s="16"/>
      <c r="AL446" s="16"/>
      <c r="AM446" s="16"/>
      <c r="AN446" s="16"/>
      <c r="AO446" s="16"/>
      <c r="AP446" s="16"/>
      <c r="AQ446" s="16"/>
      <c r="AR446" s="16"/>
      <c r="AS446" s="16"/>
    </row>
    <row r="447" spans="1:45" s="8" customFormat="1" x14ac:dyDescent="0.35">
      <c r="A447" s="16"/>
      <c r="B447" s="16"/>
      <c r="C447" s="16"/>
      <c r="D447" s="16"/>
      <c r="E447" s="16"/>
      <c r="F447" s="16"/>
      <c r="G447" s="16"/>
      <c r="H447" s="16"/>
      <c r="I447" s="16"/>
      <c r="J447" s="16"/>
      <c r="K447" s="16"/>
      <c r="L447" s="16"/>
      <c r="M447" s="16"/>
      <c r="AH447" s="16"/>
      <c r="AI447" s="16"/>
      <c r="AJ447" s="16"/>
      <c r="AK447" s="16"/>
      <c r="AL447" s="16"/>
      <c r="AM447" s="16"/>
      <c r="AN447" s="16"/>
      <c r="AO447" s="16"/>
      <c r="AP447" s="16"/>
      <c r="AQ447" s="16"/>
      <c r="AR447" s="16"/>
      <c r="AS447" s="16"/>
    </row>
    <row r="448" spans="1:45" s="8" customFormat="1" x14ac:dyDescent="0.35">
      <c r="A448" s="16"/>
      <c r="B448" s="16"/>
      <c r="C448" s="16"/>
      <c r="D448" s="16"/>
      <c r="E448" s="16"/>
      <c r="F448" s="16"/>
      <c r="G448" s="16"/>
      <c r="H448" s="16"/>
      <c r="I448" s="16"/>
      <c r="J448" s="16"/>
      <c r="K448" s="16"/>
      <c r="L448" s="16"/>
      <c r="M448" s="16"/>
      <c r="AH448" s="16"/>
      <c r="AI448" s="16"/>
      <c r="AJ448" s="16"/>
      <c r="AK448" s="16"/>
      <c r="AL448" s="16"/>
      <c r="AM448" s="16"/>
      <c r="AN448" s="16"/>
      <c r="AO448" s="16"/>
      <c r="AP448" s="16"/>
      <c r="AQ448" s="16"/>
      <c r="AR448" s="16"/>
      <c r="AS448" s="16"/>
    </row>
    <row r="449" spans="1:45" s="8" customFormat="1" x14ac:dyDescent="0.35">
      <c r="A449" s="16"/>
      <c r="B449" s="16"/>
      <c r="C449" s="16"/>
      <c r="D449" s="16"/>
      <c r="E449" s="16"/>
      <c r="F449" s="16"/>
      <c r="G449" s="16"/>
      <c r="H449" s="16"/>
      <c r="I449" s="16"/>
      <c r="J449" s="16"/>
      <c r="K449" s="16"/>
      <c r="L449" s="16"/>
      <c r="M449" s="16"/>
      <c r="AH449" s="16"/>
      <c r="AI449" s="16"/>
      <c r="AJ449" s="16"/>
      <c r="AK449" s="16"/>
      <c r="AL449" s="16"/>
      <c r="AM449" s="16"/>
      <c r="AN449" s="16"/>
      <c r="AO449" s="16"/>
      <c r="AP449" s="16"/>
      <c r="AQ449" s="16"/>
      <c r="AR449" s="16"/>
      <c r="AS449" s="16"/>
    </row>
    <row r="450" spans="1:45" s="8" customFormat="1" x14ac:dyDescent="0.35">
      <c r="A450" s="16"/>
      <c r="B450" s="16"/>
      <c r="C450" s="16"/>
      <c r="D450" s="16"/>
      <c r="E450" s="16"/>
      <c r="F450" s="16"/>
      <c r="G450" s="16"/>
      <c r="H450" s="16"/>
      <c r="I450" s="16"/>
      <c r="J450" s="16"/>
      <c r="K450" s="16"/>
      <c r="L450" s="16"/>
      <c r="M450" s="16"/>
      <c r="AH450" s="16"/>
      <c r="AI450" s="16"/>
      <c r="AJ450" s="16"/>
      <c r="AK450" s="16"/>
      <c r="AL450" s="16"/>
      <c r="AM450" s="16"/>
      <c r="AN450" s="16"/>
      <c r="AO450" s="16"/>
      <c r="AP450" s="16"/>
      <c r="AQ450" s="16"/>
      <c r="AR450" s="16"/>
      <c r="AS450" s="16"/>
    </row>
    <row r="451" spans="1:45" s="8" customFormat="1" x14ac:dyDescent="0.35">
      <c r="A451" s="16"/>
      <c r="B451" s="16"/>
      <c r="C451" s="16"/>
      <c r="D451" s="16"/>
      <c r="E451" s="16"/>
      <c r="F451" s="16"/>
      <c r="G451" s="16"/>
      <c r="H451" s="16"/>
      <c r="I451" s="16"/>
      <c r="J451" s="16"/>
      <c r="K451" s="16"/>
      <c r="L451" s="16"/>
      <c r="M451" s="16"/>
      <c r="AH451" s="16"/>
      <c r="AI451" s="16"/>
      <c r="AJ451" s="16"/>
      <c r="AK451" s="16"/>
      <c r="AL451" s="16"/>
      <c r="AM451" s="16"/>
      <c r="AN451" s="16"/>
      <c r="AO451" s="16"/>
      <c r="AP451" s="16"/>
      <c r="AQ451" s="16"/>
      <c r="AR451" s="16"/>
      <c r="AS451" s="16"/>
    </row>
    <row r="452" spans="1:45" s="8" customFormat="1" x14ac:dyDescent="0.35">
      <c r="A452" s="16"/>
      <c r="B452" s="16"/>
      <c r="C452" s="16"/>
      <c r="D452" s="16"/>
      <c r="E452" s="16"/>
      <c r="F452" s="16"/>
      <c r="G452" s="16"/>
      <c r="H452" s="16"/>
      <c r="I452" s="16"/>
      <c r="J452" s="16"/>
      <c r="K452" s="16"/>
      <c r="L452" s="16"/>
      <c r="M452" s="16"/>
      <c r="AH452" s="16"/>
      <c r="AI452" s="16"/>
      <c r="AJ452" s="16"/>
      <c r="AK452" s="16"/>
      <c r="AL452" s="16"/>
      <c r="AM452" s="16"/>
      <c r="AN452" s="16"/>
      <c r="AO452" s="16"/>
      <c r="AP452" s="16"/>
      <c r="AQ452" s="16"/>
      <c r="AR452" s="16"/>
      <c r="AS452" s="16"/>
    </row>
    <row r="453" spans="1:45" s="8" customFormat="1" x14ac:dyDescent="0.35">
      <c r="A453" s="16"/>
      <c r="B453" s="16"/>
      <c r="C453" s="16"/>
      <c r="D453" s="16"/>
      <c r="E453" s="16"/>
      <c r="F453" s="16"/>
      <c r="G453" s="16"/>
      <c r="H453" s="16"/>
      <c r="I453" s="16"/>
      <c r="J453" s="16"/>
      <c r="K453" s="16"/>
      <c r="L453" s="16"/>
      <c r="M453" s="16"/>
      <c r="AH453" s="16"/>
      <c r="AI453" s="16"/>
      <c r="AJ453" s="16"/>
      <c r="AK453" s="16"/>
      <c r="AL453" s="16"/>
      <c r="AM453" s="16"/>
      <c r="AN453" s="16"/>
      <c r="AO453" s="16"/>
      <c r="AP453" s="16"/>
      <c r="AQ453" s="16"/>
      <c r="AR453" s="16"/>
      <c r="AS453" s="16"/>
    </row>
    <row r="454" spans="1:45" s="8" customFormat="1" x14ac:dyDescent="0.35">
      <c r="A454" s="16"/>
      <c r="B454" s="16"/>
      <c r="C454" s="16"/>
      <c r="D454" s="16"/>
      <c r="E454" s="16"/>
      <c r="F454" s="16"/>
      <c r="G454" s="16"/>
      <c r="H454" s="16"/>
      <c r="I454" s="16"/>
      <c r="J454" s="16"/>
      <c r="K454" s="16"/>
      <c r="L454" s="16"/>
      <c r="M454" s="16"/>
      <c r="AH454" s="16"/>
      <c r="AI454" s="16"/>
      <c r="AJ454" s="16"/>
      <c r="AK454" s="16"/>
      <c r="AL454" s="16"/>
      <c r="AM454" s="16"/>
      <c r="AN454" s="16"/>
      <c r="AO454" s="16"/>
      <c r="AP454" s="16"/>
      <c r="AQ454" s="16"/>
      <c r="AR454" s="16"/>
      <c r="AS454" s="16"/>
    </row>
    <row r="455" spans="1:45" s="8" customFormat="1" x14ac:dyDescent="0.35">
      <c r="A455" s="16"/>
      <c r="B455" s="16"/>
      <c r="C455" s="16"/>
      <c r="D455" s="16"/>
      <c r="E455" s="16"/>
      <c r="F455" s="16"/>
      <c r="G455" s="16"/>
      <c r="H455" s="16"/>
      <c r="I455" s="16"/>
      <c r="J455" s="16"/>
      <c r="K455" s="16"/>
      <c r="L455" s="16"/>
      <c r="M455" s="16"/>
      <c r="AH455" s="16"/>
      <c r="AI455" s="16"/>
      <c r="AJ455" s="16"/>
      <c r="AK455" s="16"/>
      <c r="AL455" s="16"/>
      <c r="AM455" s="16"/>
      <c r="AN455" s="16"/>
      <c r="AO455" s="16"/>
      <c r="AP455" s="16"/>
      <c r="AQ455" s="16"/>
      <c r="AR455" s="16"/>
      <c r="AS455" s="16"/>
    </row>
    <row r="456" spans="1:45" s="8" customFormat="1" x14ac:dyDescent="0.35">
      <c r="A456" s="16"/>
      <c r="B456" s="16"/>
      <c r="C456" s="16"/>
      <c r="D456" s="16"/>
      <c r="E456" s="16"/>
      <c r="F456" s="16"/>
      <c r="G456" s="16"/>
      <c r="H456" s="16"/>
      <c r="I456" s="16"/>
      <c r="J456" s="16"/>
      <c r="K456" s="16"/>
      <c r="L456" s="16"/>
      <c r="M456" s="16"/>
      <c r="AH456" s="16"/>
      <c r="AI456" s="16"/>
      <c r="AJ456" s="16"/>
      <c r="AK456" s="16"/>
      <c r="AL456" s="16"/>
      <c r="AM456" s="16"/>
      <c r="AN456" s="16"/>
      <c r="AO456" s="16"/>
      <c r="AP456" s="16"/>
      <c r="AQ456" s="16"/>
      <c r="AR456" s="16"/>
      <c r="AS456" s="16"/>
    </row>
    <row r="457" spans="1:45" s="8" customFormat="1" x14ac:dyDescent="0.35">
      <c r="A457" s="16"/>
      <c r="B457" s="16"/>
      <c r="C457" s="16"/>
      <c r="D457" s="16"/>
      <c r="E457" s="16"/>
      <c r="F457" s="16"/>
      <c r="G457" s="16"/>
      <c r="H457" s="16"/>
      <c r="I457" s="16"/>
      <c r="J457" s="16"/>
      <c r="K457" s="16"/>
      <c r="L457" s="16"/>
      <c r="M457" s="16"/>
      <c r="AH457" s="16"/>
      <c r="AI457" s="16"/>
      <c r="AJ457" s="16"/>
      <c r="AK457" s="16"/>
      <c r="AL457" s="16"/>
      <c r="AM457" s="16"/>
      <c r="AN457" s="16"/>
      <c r="AO457" s="16"/>
      <c r="AP457" s="16"/>
      <c r="AQ457" s="16"/>
      <c r="AR457" s="16"/>
      <c r="AS457" s="16"/>
    </row>
    <row r="458" spans="1:45" s="8" customFormat="1" x14ac:dyDescent="0.35">
      <c r="A458" s="16"/>
      <c r="B458" s="16"/>
      <c r="C458" s="16"/>
      <c r="D458" s="16"/>
      <c r="E458" s="16"/>
      <c r="F458" s="16"/>
      <c r="G458" s="16"/>
      <c r="H458" s="16"/>
      <c r="I458" s="16"/>
      <c r="J458" s="16"/>
      <c r="K458" s="16"/>
      <c r="L458" s="16"/>
      <c r="M458" s="16"/>
      <c r="AH458" s="16"/>
      <c r="AI458" s="16"/>
      <c r="AJ458" s="16"/>
      <c r="AK458" s="16"/>
      <c r="AL458" s="16"/>
      <c r="AM458" s="16"/>
      <c r="AN458" s="16"/>
      <c r="AO458" s="16"/>
      <c r="AP458" s="16"/>
      <c r="AQ458" s="16"/>
      <c r="AR458" s="16"/>
      <c r="AS458" s="16"/>
    </row>
    <row r="459" spans="1:45" s="8" customFormat="1" x14ac:dyDescent="0.35">
      <c r="A459" s="16"/>
      <c r="B459" s="16"/>
      <c r="C459" s="16"/>
      <c r="D459" s="16"/>
      <c r="E459" s="16"/>
      <c r="F459" s="16"/>
      <c r="G459" s="16"/>
      <c r="H459" s="16"/>
      <c r="I459" s="16"/>
      <c r="J459" s="16"/>
      <c r="K459" s="16"/>
      <c r="L459" s="16"/>
      <c r="M459" s="16"/>
      <c r="AH459" s="16"/>
      <c r="AI459" s="16"/>
      <c r="AJ459" s="16"/>
      <c r="AK459" s="16"/>
      <c r="AL459" s="16"/>
      <c r="AM459" s="16"/>
      <c r="AN459" s="16"/>
      <c r="AO459" s="16"/>
      <c r="AP459" s="16"/>
      <c r="AQ459" s="16"/>
      <c r="AR459" s="16"/>
      <c r="AS459" s="16"/>
    </row>
    <row r="460" spans="1:45" s="8" customFormat="1" x14ac:dyDescent="0.35">
      <c r="A460" s="16"/>
      <c r="B460" s="16"/>
      <c r="C460" s="16"/>
      <c r="D460" s="16"/>
      <c r="E460" s="16"/>
      <c r="F460" s="16"/>
      <c r="G460" s="16"/>
      <c r="H460" s="16"/>
      <c r="I460" s="16"/>
      <c r="J460" s="16"/>
      <c r="K460" s="16"/>
      <c r="L460" s="16"/>
      <c r="M460" s="16"/>
      <c r="AH460" s="16"/>
      <c r="AI460" s="16"/>
      <c r="AJ460" s="16"/>
      <c r="AK460" s="16"/>
      <c r="AL460" s="16"/>
      <c r="AM460" s="16"/>
      <c r="AN460" s="16"/>
      <c r="AO460" s="16"/>
      <c r="AP460" s="16"/>
      <c r="AQ460" s="16"/>
      <c r="AR460" s="16"/>
      <c r="AS460" s="16"/>
    </row>
    <row r="461" spans="1:45" s="8" customFormat="1" x14ac:dyDescent="0.35">
      <c r="A461" s="16"/>
      <c r="B461" s="16"/>
      <c r="C461" s="16"/>
      <c r="D461" s="16"/>
      <c r="E461" s="16"/>
      <c r="F461" s="16"/>
      <c r="G461" s="16"/>
      <c r="H461" s="16"/>
      <c r="I461" s="16"/>
      <c r="J461" s="16"/>
      <c r="K461" s="16"/>
      <c r="L461" s="16"/>
      <c r="M461" s="16"/>
      <c r="AH461" s="16"/>
      <c r="AI461" s="16"/>
      <c r="AJ461" s="16"/>
      <c r="AK461" s="16"/>
      <c r="AL461" s="16"/>
      <c r="AM461" s="16"/>
      <c r="AN461" s="16"/>
      <c r="AO461" s="16"/>
      <c r="AP461" s="16"/>
      <c r="AQ461" s="16"/>
      <c r="AR461" s="16"/>
      <c r="AS461" s="16"/>
    </row>
    <row r="462" spans="1:45" s="8" customFormat="1" x14ac:dyDescent="0.35">
      <c r="A462" s="16"/>
      <c r="B462" s="16"/>
      <c r="C462" s="16"/>
      <c r="D462" s="16"/>
      <c r="E462" s="16"/>
      <c r="F462" s="16"/>
      <c r="G462" s="16"/>
      <c r="H462" s="16"/>
      <c r="I462" s="16"/>
      <c r="J462" s="16"/>
      <c r="K462" s="16"/>
      <c r="L462" s="16"/>
      <c r="M462" s="16"/>
      <c r="AH462" s="16"/>
      <c r="AI462" s="16"/>
      <c r="AJ462" s="16"/>
      <c r="AK462" s="16"/>
      <c r="AL462" s="16"/>
      <c r="AM462" s="16"/>
      <c r="AN462" s="16"/>
      <c r="AO462" s="16"/>
      <c r="AP462" s="16"/>
      <c r="AQ462" s="16"/>
      <c r="AR462" s="16"/>
      <c r="AS462" s="16"/>
    </row>
    <row r="463" spans="1:45" s="8" customFormat="1" x14ac:dyDescent="0.35">
      <c r="A463" s="16"/>
      <c r="B463" s="16"/>
      <c r="C463" s="16"/>
      <c r="D463" s="16"/>
      <c r="E463" s="16"/>
      <c r="F463" s="16"/>
      <c r="G463" s="16"/>
      <c r="H463" s="16"/>
      <c r="I463" s="16"/>
      <c r="J463" s="16"/>
      <c r="K463" s="16"/>
      <c r="L463" s="16"/>
      <c r="M463" s="16"/>
      <c r="AH463" s="16"/>
      <c r="AI463" s="16"/>
      <c r="AJ463" s="16"/>
      <c r="AK463" s="16"/>
      <c r="AL463" s="16"/>
      <c r="AM463" s="16"/>
      <c r="AN463" s="16"/>
      <c r="AO463" s="16"/>
      <c r="AP463" s="16"/>
      <c r="AQ463" s="16"/>
      <c r="AR463" s="16"/>
      <c r="AS463" s="16"/>
    </row>
    <row r="464" spans="1:45" s="8" customFormat="1" x14ac:dyDescent="0.35">
      <c r="A464" s="16"/>
      <c r="B464" s="16"/>
      <c r="C464" s="16"/>
      <c r="D464" s="16"/>
      <c r="E464" s="16"/>
      <c r="F464" s="16"/>
      <c r="G464" s="16"/>
      <c r="H464" s="16"/>
      <c r="I464" s="16"/>
      <c r="J464" s="16"/>
      <c r="K464" s="16"/>
      <c r="L464" s="16"/>
      <c r="M464" s="16"/>
      <c r="AH464" s="16"/>
      <c r="AI464" s="16"/>
      <c r="AJ464" s="16"/>
      <c r="AK464" s="16"/>
      <c r="AL464" s="16"/>
      <c r="AM464" s="16"/>
      <c r="AN464" s="16"/>
      <c r="AO464" s="16"/>
      <c r="AP464" s="16"/>
      <c r="AQ464" s="16"/>
      <c r="AR464" s="16"/>
      <c r="AS464" s="16"/>
    </row>
    <row r="465" spans="1:45" s="8" customFormat="1" x14ac:dyDescent="0.35">
      <c r="A465" s="16"/>
      <c r="B465" s="16"/>
      <c r="C465" s="16"/>
      <c r="D465" s="16"/>
      <c r="E465" s="16"/>
      <c r="F465" s="16"/>
      <c r="G465" s="16"/>
      <c r="H465" s="16"/>
      <c r="I465" s="16"/>
      <c r="J465" s="16"/>
      <c r="K465" s="16"/>
      <c r="L465" s="16"/>
      <c r="M465" s="16"/>
      <c r="AH465" s="16"/>
      <c r="AI465" s="16"/>
      <c r="AJ465" s="16"/>
      <c r="AK465" s="16"/>
      <c r="AL465" s="16"/>
      <c r="AM465" s="16"/>
      <c r="AN465" s="16"/>
      <c r="AO465" s="16"/>
      <c r="AP465" s="16"/>
      <c r="AQ465" s="16"/>
      <c r="AR465" s="16"/>
      <c r="AS465" s="16"/>
    </row>
    <row r="466" spans="1:45" s="8" customFormat="1" x14ac:dyDescent="0.35">
      <c r="A466" s="16"/>
      <c r="B466" s="16"/>
      <c r="C466" s="16"/>
      <c r="D466" s="16"/>
      <c r="E466" s="16"/>
      <c r="F466" s="16"/>
      <c r="G466" s="16"/>
      <c r="H466" s="16"/>
      <c r="I466" s="16"/>
      <c r="J466" s="16"/>
      <c r="K466" s="16"/>
      <c r="L466" s="16"/>
      <c r="M466" s="16"/>
      <c r="AH466" s="16"/>
      <c r="AI466" s="16"/>
      <c r="AJ466" s="16"/>
      <c r="AK466" s="16"/>
      <c r="AL466" s="16"/>
      <c r="AM466" s="16"/>
      <c r="AN466" s="16"/>
      <c r="AO466" s="16"/>
      <c r="AP466" s="16"/>
      <c r="AQ466" s="16"/>
      <c r="AR466" s="16"/>
      <c r="AS466" s="16"/>
    </row>
    <row r="467" spans="1:45" s="8" customFormat="1" x14ac:dyDescent="0.35">
      <c r="A467" s="16"/>
      <c r="B467" s="16"/>
      <c r="C467" s="16"/>
      <c r="D467" s="16"/>
      <c r="E467" s="16"/>
      <c r="F467" s="16"/>
      <c r="G467" s="16"/>
      <c r="H467" s="16"/>
      <c r="I467" s="16"/>
      <c r="J467" s="16"/>
      <c r="K467" s="16"/>
      <c r="L467" s="16"/>
      <c r="M467" s="16"/>
      <c r="AH467" s="16"/>
      <c r="AI467" s="16"/>
      <c r="AJ467" s="16"/>
      <c r="AK467" s="16"/>
      <c r="AL467" s="16"/>
      <c r="AM467" s="16"/>
      <c r="AN467" s="16"/>
      <c r="AO467" s="16"/>
      <c r="AP467" s="16"/>
      <c r="AQ467" s="16"/>
      <c r="AR467" s="16"/>
      <c r="AS467" s="16"/>
    </row>
    <row r="468" spans="1:45" s="8" customFormat="1" x14ac:dyDescent="0.35">
      <c r="A468" s="16"/>
      <c r="B468" s="16"/>
      <c r="C468" s="16"/>
      <c r="D468" s="16"/>
      <c r="E468" s="16"/>
      <c r="F468" s="16"/>
      <c r="G468" s="16"/>
      <c r="H468" s="16"/>
      <c r="I468" s="16"/>
      <c r="J468" s="16"/>
      <c r="K468" s="16"/>
      <c r="L468" s="16"/>
      <c r="M468" s="16"/>
      <c r="AH468" s="16"/>
      <c r="AI468" s="16"/>
      <c r="AJ468" s="16"/>
      <c r="AK468" s="16"/>
      <c r="AL468" s="16"/>
      <c r="AM468" s="16"/>
      <c r="AN468" s="16"/>
      <c r="AO468" s="16"/>
      <c r="AP468" s="16"/>
      <c r="AQ468" s="16"/>
      <c r="AR468" s="16"/>
      <c r="AS468" s="16"/>
    </row>
    <row r="469" spans="1:45" s="8" customFormat="1" x14ac:dyDescent="0.35">
      <c r="A469" s="16"/>
      <c r="B469" s="16"/>
      <c r="C469" s="16"/>
      <c r="D469" s="16"/>
      <c r="E469" s="16"/>
      <c r="F469" s="16"/>
      <c r="G469" s="16"/>
      <c r="H469" s="16"/>
      <c r="I469" s="16"/>
      <c r="J469" s="16"/>
      <c r="K469" s="16"/>
      <c r="L469" s="16"/>
      <c r="M469" s="16"/>
      <c r="AH469" s="16"/>
      <c r="AI469" s="16"/>
      <c r="AJ469" s="16"/>
      <c r="AK469" s="16"/>
      <c r="AL469" s="16"/>
      <c r="AM469" s="16"/>
      <c r="AN469" s="16"/>
      <c r="AO469" s="16"/>
      <c r="AP469" s="16"/>
      <c r="AQ469" s="16"/>
      <c r="AR469" s="16"/>
      <c r="AS469" s="16"/>
    </row>
    <row r="470" spans="1:45" s="8" customFormat="1" x14ac:dyDescent="0.35">
      <c r="A470" s="16"/>
      <c r="B470" s="16"/>
      <c r="C470" s="16"/>
      <c r="D470" s="16"/>
      <c r="E470" s="16"/>
      <c r="F470" s="16"/>
      <c r="G470" s="16"/>
      <c r="H470" s="16"/>
      <c r="I470" s="16"/>
      <c r="J470" s="16"/>
      <c r="K470" s="16"/>
      <c r="L470" s="16"/>
      <c r="M470" s="16"/>
      <c r="AH470" s="16"/>
      <c r="AI470" s="16"/>
      <c r="AJ470" s="16"/>
      <c r="AK470" s="16"/>
      <c r="AL470" s="16"/>
      <c r="AM470" s="16"/>
      <c r="AN470" s="16"/>
      <c r="AO470" s="16"/>
      <c r="AP470" s="16"/>
      <c r="AQ470" s="16"/>
      <c r="AR470" s="16"/>
      <c r="AS470" s="16"/>
    </row>
    <row r="471" spans="1:45" s="8" customFormat="1" x14ac:dyDescent="0.35">
      <c r="A471" s="16"/>
      <c r="B471" s="16"/>
      <c r="C471" s="16"/>
      <c r="D471" s="16"/>
      <c r="E471" s="16"/>
      <c r="F471" s="16"/>
      <c r="G471" s="16"/>
      <c r="H471" s="16"/>
      <c r="I471" s="16"/>
      <c r="J471" s="16"/>
      <c r="K471" s="16"/>
      <c r="L471" s="16"/>
      <c r="M471" s="16"/>
      <c r="AH471" s="16"/>
      <c r="AI471" s="16"/>
      <c r="AJ471" s="16"/>
      <c r="AK471" s="16"/>
      <c r="AL471" s="16"/>
      <c r="AM471" s="16"/>
      <c r="AN471" s="16"/>
      <c r="AO471" s="16"/>
      <c r="AP471" s="16"/>
      <c r="AQ471" s="16"/>
      <c r="AR471" s="16"/>
      <c r="AS471" s="16"/>
    </row>
    <row r="472" spans="1:45" s="8" customFormat="1" x14ac:dyDescent="0.35">
      <c r="A472" s="16"/>
      <c r="B472" s="16"/>
      <c r="C472" s="16"/>
      <c r="D472" s="16"/>
      <c r="E472" s="16"/>
      <c r="F472" s="16"/>
      <c r="G472" s="16"/>
      <c r="H472" s="16"/>
      <c r="I472" s="16"/>
      <c r="J472" s="16"/>
      <c r="K472" s="16"/>
      <c r="L472" s="16"/>
      <c r="M472" s="16"/>
      <c r="AH472" s="16"/>
      <c r="AI472" s="16"/>
      <c r="AJ472" s="16"/>
      <c r="AK472" s="16"/>
      <c r="AL472" s="16"/>
      <c r="AM472" s="16"/>
      <c r="AN472" s="16"/>
      <c r="AO472" s="16"/>
      <c r="AP472" s="16"/>
      <c r="AQ472" s="16"/>
      <c r="AR472" s="16"/>
      <c r="AS472" s="16"/>
    </row>
    <row r="473" spans="1:45" s="8" customFormat="1" x14ac:dyDescent="0.35">
      <c r="A473" s="16"/>
      <c r="B473" s="16"/>
      <c r="C473" s="16"/>
      <c r="D473" s="16"/>
      <c r="E473" s="16"/>
      <c r="F473" s="16"/>
      <c r="G473" s="16"/>
      <c r="H473" s="16"/>
      <c r="I473" s="16"/>
      <c r="J473" s="16"/>
      <c r="K473" s="16"/>
      <c r="L473" s="16"/>
      <c r="M473" s="16"/>
      <c r="AH473" s="16"/>
      <c r="AI473" s="16"/>
      <c r="AJ473" s="16"/>
      <c r="AK473" s="16"/>
      <c r="AL473" s="16"/>
      <c r="AM473" s="16"/>
      <c r="AN473" s="16"/>
      <c r="AO473" s="16"/>
      <c r="AP473" s="16"/>
      <c r="AQ473" s="16"/>
      <c r="AR473" s="16"/>
      <c r="AS473" s="16"/>
    </row>
    <row r="474" spans="1:45" s="8" customFormat="1" x14ac:dyDescent="0.35">
      <c r="A474" s="16"/>
      <c r="B474" s="16"/>
      <c r="C474" s="16"/>
      <c r="D474" s="16"/>
      <c r="E474" s="16"/>
      <c r="F474" s="16"/>
      <c r="G474" s="16"/>
      <c r="H474" s="16"/>
      <c r="I474" s="16"/>
      <c r="J474" s="16"/>
      <c r="K474" s="16"/>
      <c r="L474" s="16"/>
      <c r="M474" s="16"/>
      <c r="AH474" s="16"/>
      <c r="AI474" s="16"/>
      <c r="AJ474" s="16"/>
      <c r="AK474" s="16"/>
      <c r="AL474" s="16"/>
      <c r="AM474" s="16"/>
      <c r="AN474" s="16"/>
      <c r="AO474" s="16"/>
      <c r="AP474" s="16"/>
      <c r="AQ474" s="16"/>
      <c r="AR474" s="16"/>
      <c r="AS474" s="16"/>
    </row>
    <row r="475" spans="1:45" s="8" customFormat="1" x14ac:dyDescent="0.35">
      <c r="A475" s="16"/>
      <c r="B475" s="16"/>
      <c r="C475" s="16"/>
      <c r="D475" s="16"/>
      <c r="E475" s="16"/>
      <c r="F475" s="16"/>
      <c r="G475" s="16"/>
      <c r="H475" s="16"/>
      <c r="I475" s="16"/>
      <c r="J475" s="16"/>
      <c r="K475" s="16"/>
      <c r="L475" s="16"/>
      <c r="M475" s="16"/>
      <c r="AH475" s="16"/>
      <c r="AI475" s="16"/>
      <c r="AJ475" s="16"/>
      <c r="AK475" s="16"/>
      <c r="AL475" s="16"/>
      <c r="AM475" s="16"/>
      <c r="AN475" s="16"/>
      <c r="AO475" s="16"/>
      <c r="AP475" s="16"/>
      <c r="AQ475" s="16"/>
      <c r="AR475" s="16"/>
      <c r="AS475" s="16"/>
    </row>
    <row r="476" spans="1:45" s="8" customFormat="1" x14ac:dyDescent="0.35">
      <c r="A476" s="16"/>
      <c r="B476" s="16"/>
      <c r="C476" s="16"/>
      <c r="D476" s="16"/>
      <c r="E476" s="16"/>
      <c r="F476" s="16"/>
      <c r="G476" s="16"/>
      <c r="H476" s="16"/>
      <c r="I476" s="16"/>
      <c r="J476" s="16"/>
      <c r="K476" s="16"/>
      <c r="L476" s="16"/>
      <c r="M476" s="16"/>
      <c r="AH476" s="16"/>
      <c r="AI476" s="16"/>
      <c r="AJ476" s="16"/>
      <c r="AK476" s="16"/>
      <c r="AL476" s="16"/>
      <c r="AM476" s="16"/>
      <c r="AN476" s="16"/>
      <c r="AO476" s="16"/>
      <c r="AP476" s="16"/>
      <c r="AQ476" s="16"/>
      <c r="AR476" s="16"/>
      <c r="AS476" s="16"/>
    </row>
    <row r="477" spans="1:45" s="8" customFormat="1" x14ac:dyDescent="0.35">
      <c r="A477" s="16"/>
      <c r="B477" s="16"/>
      <c r="C477" s="16"/>
      <c r="D477" s="16"/>
      <c r="E477" s="16"/>
      <c r="F477" s="16"/>
      <c r="G477" s="16"/>
      <c r="H477" s="16"/>
      <c r="I477" s="16"/>
      <c r="J477" s="16"/>
      <c r="K477" s="16"/>
      <c r="L477" s="16"/>
      <c r="M477" s="16"/>
      <c r="AH477" s="16"/>
      <c r="AI477" s="16"/>
      <c r="AJ477" s="16"/>
      <c r="AK477" s="16"/>
      <c r="AL477" s="16"/>
      <c r="AM477" s="16"/>
      <c r="AN477" s="16"/>
      <c r="AO477" s="16"/>
      <c r="AP477" s="16"/>
      <c r="AQ477" s="16"/>
      <c r="AR477" s="16"/>
      <c r="AS477" s="16"/>
    </row>
    <row r="478" spans="1:45" s="8" customFormat="1" x14ac:dyDescent="0.35">
      <c r="A478" s="16"/>
      <c r="B478" s="16"/>
      <c r="C478" s="16"/>
      <c r="D478" s="16"/>
      <c r="E478" s="16"/>
      <c r="F478" s="16"/>
      <c r="G478" s="16"/>
      <c r="H478" s="16"/>
      <c r="I478" s="16"/>
      <c r="J478" s="16"/>
      <c r="K478" s="16"/>
      <c r="L478" s="16"/>
      <c r="M478" s="16"/>
      <c r="AH478" s="16"/>
      <c r="AI478" s="16"/>
      <c r="AJ478" s="16"/>
      <c r="AK478" s="16"/>
      <c r="AL478" s="16"/>
      <c r="AM478" s="16"/>
      <c r="AN478" s="16"/>
      <c r="AO478" s="16"/>
      <c r="AP478" s="16"/>
      <c r="AQ478" s="16"/>
      <c r="AR478" s="16"/>
      <c r="AS478" s="16"/>
    </row>
    <row r="479" spans="1:45" s="8" customFormat="1" x14ac:dyDescent="0.35">
      <c r="A479" s="16"/>
      <c r="B479" s="16"/>
      <c r="C479" s="16"/>
      <c r="D479" s="16"/>
      <c r="E479" s="16"/>
      <c r="F479" s="16"/>
      <c r="G479" s="16"/>
      <c r="H479" s="16"/>
      <c r="I479" s="16"/>
      <c r="J479" s="16"/>
      <c r="K479" s="16"/>
      <c r="L479" s="16"/>
      <c r="M479" s="16"/>
      <c r="AH479" s="16"/>
      <c r="AI479" s="16"/>
      <c r="AJ479" s="16"/>
      <c r="AK479" s="16"/>
      <c r="AL479" s="16"/>
      <c r="AM479" s="16"/>
      <c r="AN479" s="16"/>
      <c r="AO479" s="16"/>
      <c r="AP479" s="16"/>
      <c r="AQ479" s="16"/>
      <c r="AR479" s="16"/>
      <c r="AS479" s="16"/>
    </row>
    <row r="480" spans="1:45" s="8" customFormat="1" x14ac:dyDescent="0.35">
      <c r="A480" s="16"/>
      <c r="B480" s="16"/>
      <c r="C480" s="16"/>
      <c r="D480" s="16"/>
      <c r="E480" s="16"/>
      <c r="F480" s="16"/>
      <c r="G480" s="16"/>
      <c r="H480" s="16"/>
      <c r="I480" s="16"/>
      <c r="J480" s="16"/>
      <c r="K480" s="16"/>
      <c r="L480" s="16"/>
      <c r="M480" s="16"/>
      <c r="AH480" s="16"/>
      <c r="AI480" s="16"/>
      <c r="AJ480" s="16"/>
      <c r="AK480" s="16"/>
      <c r="AL480" s="16"/>
      <c r="AM480" s="16"/>
      <c r="AN480" s="16"/>
      <c r="AO480" s="16"/>
      <c r="AP480" s="16"/>
      <c r="AQ480" s="16"/>
      <c r="AR480" s="16"/>
      <c r="AS480" s="16"/>
    </row>
    <row r="481" spans="1:45" s="8" customFormat="1" x14ac:dyDescent="0.35">
      <c r="A481" s="16"/>
      <c r="B481" s="16"/>
      <c r="C481" s="16"/>
      <c r="D481" s="16"/>
      <c r="E481" s="16"/>
      <c r="F481" s="16"/>
      <c r="G481" s="16"/>
      <c r="H481" s="16"/>
      <c r="I481" s="16"/>
      <c r="J481" s="16"/>
      <c r="K481" s="16"/>
      <c r="L481" s="16"/>
      <c r="M481" s="16"/>
      <c r="AH481" s="16"/>
      <c r="AI481" s="16"/>
      <c r="AJ481" s="16"/>
      <c r="AK481" s="16"/>
      <c r="AL481" s="16"/>
      <c r="AM481" s="16"/>
      <c r="AN481" s="16"/>
      <c r="AO481" s="16"/>
      <c r="AP481" s="16"/>
      <c r="AQ481" s="16"/>
      <c r="AR481" s="16"/>
      <c r="AS481" s="16"/>
    </row>
    <row r="482" spans="1:45" s="8" customFormat="1" x14ac:dyDescent="0.35">
      <c r="A482" s="16"/>
      <c r="B482" s="16"/>
      <c r="C482" s="16"/>
      <c r="D482" s="16"/>
      <c r="E482" s="16"/>
      <c r="F482" s="16"/>
      <c r="G482" s="16"/>
      <c r="H482" s="16"/>
      <c r="I482" s="16"/>
      <c r="J482" s="16"/>
      <c r="K482" s="16"/>
      <c r="L482" s="16"/>
      <c r="M482" s="16"/>
      <c r="AH482" s="16"/>
      <c r="AI482" s="16"/>
      <c r="AJ482" s="16"/>
      <c r="AK482" s="16"/>
      <c r="AL482" s="16"/>
      <c r="AM482" s="16"/>
      <c r="AN482" s="16"/>
      <c r="AO482" s="16"/>
      <c r="AP482" s="16"/>
      <c r="AQ482" s="16"/>
      <c r="AR482" s="16"/>
      <c r="AS482" s="16"/>
    </row>
    <row r="483" spans="1:45" s="8" customFormat="1" x14ac:dyDescent="0.35">
      <c r="A483" s="16"/>
      <c r="B483" s="16"/>
      <c r="C483" s="16"/>
      <c r="D483" s="16"/>
      <c r="E483" s="16"/>
      <c r="F483" s="16"/>
      <c r="G483" s="16"/>
      <c r="H483" s="16"/>
      <c r="I483" s="16"/>
      <c r="J483" s="16"/>
      <c r="K483" s="16"/>
      <c r="L483" s="16"/>
      <c r="M483" s="16"/>
      <c r="AH483" s="16"/>
      <c r="AI483" s="16"/>
      <c r="AJ483" s="16"/>
      <c r="AK483" s="16"/>
      <c r="AL483" s="16"/>
      <c r="AM483" s="16"/>
      <c r="AN483" s="16"/>
      <c r="AO483" s="16"/>
      <c r="AP483" s="16"/>
      <c r="AQ483" s="16"/>
      <c r="AR483" s="16"/>
      <c r="AS483" s="16"/>
    </row>
    <row r="484" spans="1:45" s="8" customFormat="1" x14ac:dyDescent="0.35">
      <c r="A484" s="16"/>
      <c r="B484" s="16"/>
      <c r="C484" s="16"/>
      <c r="D484" s="16"/>
      <c r="E484" s="16"/>
      <c r="F484" s="16"/>
      <c r="G484" s="16"/>
      <c r="H484" s="16"/>
      <c r="I484" s="16"/>
      <c r="J484" s="16"/>
      <c r="K484" s="16"/>
      <c r="L484" s="16"/>
      <c r="M484" s="16"/>
      <c r="AH484" s="16"/>
      <c r="AI484" s="16"/>
      <c r="AJ484" s="16"/>
      <c r="AK484" s="16"/>
      <c r="AL484" s="16"/>
      <c r="AM484" s="16"/>
      <c r="AN484" s="16"/>
      <c r="AO484" s="16"/>
      <c r="AP484" s="16"/>
      <c r="AQ484" s="16"/>
      <c r="AR484" s="16"/>
      <c r="AS484" s="16"/>
    </row>
    <row r="485" spans="1:45" s="8" customFormat="1" x14ac:dyDescent="0.35">
      <c r="A485" s="16"/>
      <c r="B485" s="16"/>
      <c r="C485" s="16"/>
      <c r="D485" s="16"/>
      <c r="E485" s="16"/>
      <c r="F485" s="16"/>
      <c r="G485" s="16"/>
      <c r="H485" s="16"/>
      <c r="I485" s="16"/>
      <c r="J485" s="16"/>
      <c r="K485" s="16"/>
      <c r="L485" s="16"/>
      <c r="M485" s="16"/>
      <c r="AH485" s="16"/>
      <c r="AI485" s="16"/>
      <c r="AJ485" s="16"/>
      <c r="AK485" s="16"/>
      <c r="AL485" s="16"/>
      <c r="AM485" s="16"/>
      <c r="AN485" s="16"/>
      <c r="AO485" s="16"/>
      <c r="AP485" s="16"/>
      <c r="AQ485" s="16"/>
      <c r="AR485" s="16"/>
      <c r="AS485" s="16"/>
    </row>
    <row r="486" spans="1:45" s="8" customFormat="1" x14ac:dyDescent="0.35">
      <c r="A486" s="16"/>
      <c r="B486" s="16"/>
      <c r="C486" s="16"/>
      <c r="D486" s="16"/>
      <c r="E486" s="16"/>
      <c r="F486" s="16"/>
      <c r="G486" s="16"/>
      <c r="H486" s="16"/>
      <c r="I486" s="16"/>
      <c r="J486" s="16"/>
      <c r="K486" s="16"/>
      <c r="L486" s="16"/>
      <c r="M486" s="16"/>
      <c r="AH486" s="16"/>
      <c r="AI486" s="16"/>
      <c r="AJ486" s="16"/>
      <c r="AK486" s="16"/>
      <c r="AL486" s="16"/>
      <c r="AM486" s="16"/>
      <c r="AN486" s="16"/>
      <c r="AO486" s="16"/>
      <c r="AP486" s="16"/>
      <c r="AQ486" s="16"/>
      <c r="AR486" s="16"/>
      <c r="AS486" s="16"/>
    </row>
    <row r="487" spans="1:45" s="8" customFormat="1" x14ac:dyDescent="0.35">
      <c r="A487" s="16"/>
      <c r="B487" s="16"/>
      <c r="C487" s="16"/>
      <c r="D487" s="16"/>
      <c r="E487" s="16"/>
      <c r="F487" s="16"/>
      <c r="G487" s="16"/>
      <c r="H487" s="16"/>
      <c r="I487" s="16"/>
      <c r="J487" s="16"/>
      <c r="K487" s="16"/>
      <c r="L487" s="16"/>
      <c r="M487" s="16"/>
      <c r="AH487" s="16"/>
      <c r="AI487" s="16"/>
      <c r="AJ487" s="16"/>
      <c r="AK487" s="16"/>
      <c r="AL487" s="16"/>
      <c r="AM487" s="16"/>
      <c r="AN487" s="16"/>
      <c r="AO487" s="16"/>
      <c r="AP487" s="16"/>
      <c r="AQ487" s="16"/>
      <c r="AR487" s="16"/>
      <c r="AS487" s="16"/>
    </row>
    <row r="488" spans="1:45" s="8" customFormat="1" x14ac:dyDescent="0.35">
      <c r="A488" s="16"/>
      <c r="B488" s="16"/>
      <c r="C488" s="16"/>
      <c r="D488" s="16"/>
      <c r="E488" s="16"/>
      <c r="F488" s="16"/>
      <c r="G488" s="16"/>
      <c r="H488" s="16"/>
      <c r="I488" s="16"/>
      <c r="J488" s="16"/>
      <c r="K488" s="16"/>
      <c r="L488" s="16"/>
      <c r="M488" s="16"/>
      <c r="AH488" s="16"/>
      <c r="AI488" s="16"/>
      <c r="AJ488" s="16"/>
      <c r="AK488" s="16"/>
      <c r="AL488" s="16"/>
      <c r="AM488" s="16"/>
      <c r="AN488" s="16"/>
      <c r="AO488" s="16"/>
      <c r="AP488" s="16"/>
      <c r="AQ488" s="16"/>
      <c r="AR488" s="16"/>
      <c r="AS488" s="16"/>
    </row>
    <row r="489" spans="1:45" s="8" customFormat="1" x14ac:dyDescent="0.35">
      <c r="A489" s="16"/>
      <c r="B489" s="16"/>
      <c r="C489" s="16"/>
      <c r="D489" s="16"/>
      <c r="E489" s="16"/>
      <c r="F489" s="16"/>
      <c r="G489" s="16"/>
      <c r="H489" s="16"/>
      <c r="I489" s="16"/>
      <c r="J489" s="16"/>
      <c r="K489" s="16"/>
      <c r="L489" s="16"/>
      <c r="M489" s="16"/>
      <c r="AH489" s="16"/>
      <c r="AI489" s="16"/>
      <c r="AJ489" s="16"/>
      <c r="AK489" s="16"/>
      <c r="AL489" s="16"/>
      <c r="AM489" s="16"/>
      <c r="AN489" s="16"/>
      <c r="AO489" s="16"/>
      <c r="AP489" s="16"/>
      <c r="AQ489" s="16"/>
      <c r="AR489" s="16"/>
      <c r="AS489" s="16"/>
    </row>
    <row r="490" spans="1:45" s="8" customFormat="1" x14ac:dyDescent="0.35">
      <c r="A490" s="16"/>
      <c r="B490" s="16"/>
      <c r="C490" s="16"/>
      <c r="D490" s="16"/>
      <c r="E490" s="16"/>
      <c r="F490" s="16"/>
      <c r="G490" s="16"/>
      <c r="H490" s="16"/>
      <c r="I490" s="16"/>
      <c r="J490" s="16"/>
      <c r="K490" s="16"/>
      <c r="L490" s="16"/>
      <c r="M490" s="16"/>
      <c r="AH490" s="16"/>
      <c r="AI490" s="16"/>
      <c r="AJ490" s="16"/>
      <c r="AK490" s="16"/>
      <c r="AL490" s="16"/>
      <c r="AM490" s="16"/>
      <c r="AN490" s="16"/>
      <c r="AO490" s="16"/>
      <c r="AP490" s="16"/>
      <c r="AQ490" s="16"/>
      <c r="AR490" s="16"/>
      <c r="AS490" s="16"/>
    </row>
    <row r="491" spans="1:45" s="8" customFormat="1" x14ac:dyDescent="0.35">
      <c r="A491" s="16"/>
      <c r="B491" s="16"/>
      <c r="C491" s="16"/>
      <c r="D491" s="16"/>
      <c r="E491" s="16"/>
      <c r="F491" s="16"/>
      <c r="G491" s="16"/>
      <c r="H491" s="16"/>
      <c r="I491" s="16"/>
      <c r="J491" s="16"/>
      <c r="K491" s="16"/>
      <c r="L491" s="16"/>
      <c r="M491" s="16"/>
      <c r="AH491" s="16"/>
      <c r="AI491" s="16"/>
      <c r="AJ491" s="16"/>
      <c r="AK491" s="16"/>
      <c r="AL491" s="16"/>
      <c r="AM491" s="16"/>
      <c r="AN491" s="16"/>
      <c r="AO491" s="16"/>
      <c r="AP491" s="16"/>
      <c r="AQ491" s="16"/>
      <c r="AR491" s="16"/>
      <c r="AS491" s="16"/>
    </row>
    <row r="492" spans="1:45" s="8" customFormat="1" x14ac:dyDescent="0.35">
      <c r="A492" s="16"/>
      <c r="B492" s="16"/>
      <c r="C492" s="16"/>
      <c r="D492" s="16"/>
      <c r="E492" s="16"/>
      <c r="F492" s="16"/>
      <c r="G492" s="16"/>
      <c r="H492" s="16"/>
      <c r="I492" s="16"/>
      <c r="J492" s="16"/>
      <c r="K492" s="16"/>
      <c r="L492" s="16"/>
      <c r="M492" s="16"/>
      <c r="AH492" s="16"/>
      <c r="AI492" s="16"/>
      <c r="AJ492" s="16"/>
      <c r="AK492" s="16"/>
      <c r="AL492" s="16"/>
      <c r="AM492" s="16"/>
      <c r="AN492" s="16"/>
      <c r="AO492" s="16"/>
      <c r="AP492" s="16"/>
      <c r="AQ492" s="16"/>
      <c r="AR492" s="16"/>
      <c r="AS492" s="16"/>
    </row>
    <row r="493" spans="1:45" s="8" customFormat="1" x14ac:dyDescent="0.35">
      <c r="A493" s="16"/>
      <c r="B493" s="16"/>
      <c r="C493" s="16"/>
      <c r="D493" s="16"/>
      <c r="E493" s="16"/>
      <c r="F493" s="16"/>
      <c r="G493" s="16"/>
      <c r="H493" s="16"/>
      <c r="I493" s="16"/>
      <c r="J493" s="16"/>
      <c r="K493" s="16"/>
      <c r="L493" s="16"/>
      <c r="M493" s="16"/>
      <c r="AH493" s="16"/>
      <c r="AI493" s="16"/>
      <c r="AJ493" s="16"/>
      <c r="AK493" s="16"/>
      <c r="AL493" s="16"/>
      <c r="AM493" s="16"/>
      <c r="AN493" s="16"/>
      <c r="AO493" s="16"/>
      <c r="AP493" s="16"/>
      <c r="AQ493" s="16"/>
      <c r="AR493" s="16"/>
      <c r="AS493" s="16"/>
    </row>
    <row r="494" spans="1:45" s="8" customFormat="1" x14ac:dyDescent="0.35">
      <c r="A494" s="16"/>
      <c r="B494" s="16"/>
      <c r="C494" s="16"/>
      <c r="D494" s="16"/>
      <c r="E494" s="16"/>
      <c r="F494" s="16"/>
      <c r="G494" s="16"/>
      <c r="H494" s="16"/>
      <c r="I494" s="16"/>
      <c r="J494" s="16"/>
      <c r="K494" s="16"/>
      <c r="L494" s="16"/>
      <c r="M494" s="16"/>
      <c r="AH494" s="16"/>
      <c r="AI494" s="16"/>
      <c r="AJ494" s="16"/>
      <c r="AK494" s="16"/>
      <c r="AL494" s="16"/>
      <c r="AM494" s="16"/>
      <c r="AN494" s="16"/>
      <c r="AO494" s="16"/>
      <c r="AP494" s="16"/>
      <c r="AQ494" s="16"/>
      <c r="AR494" s="16"/>
      <c r="AS494" s="16"/>
    </row>
    <row r="495" spans="1:45" s="8" customFormat="1" x14ac:dyDescent="0.35">
      <c r="A495" s="16"/>
      <c r="B495" s="16"/>
      <c r="C495" s="16"/>
      <c r="D495" s="16"/>
      <c r="E495" s="16"/>
      <c r="F495" s="16"/>
      <c r="G495" s="16"/>
      <c r="H495" s="16"/>
      <c r="I495" s="16"/>
      <c r="J495" s="16"/>
      <c r="K495" s="16"/>
      <c r="L495" s="16"/>
      <c r="M495" s="16"/>
      <c r="AH495" s="16"/>
      <c r="AI495" s="16"/>
      <c r="AJ495" s="16"/>
      <c r="AK495" s="16"/>
      <c r="AL495" s="16"/>
      <c r="AM495" s="16"/>
      <c r="AN495" s="16"/>
      <c r="AO495" s="16"/>
      <c r="AP495" s="16"/>
      <c r="AQ495" s="16"/>
      <c r="AR495" s="16"/>
      <c r="AS495" s="16"/>
    </row>
    <row r="496" spans="1:45" s="8" customFormat="1" x14ac:dyDescent="0.35">
      <c r="A496" s="16"/>
      <c r="B496" s="16"/>
      <c r="C496" s="16"/>
      <c r="D496" s="16"/>
      <c r="E496" s="16"/>
      <c r="F496" s="16"/>
      <c r="G496" s="16"/>
      <c r="H496" s="16"/>
      <c r="I496" s="16"/>
      <c r="J496" s="16"/>
      <c r="K496" s="16"/>
      <c r="L496" s="16"/>
      <c r="M496" s="16"/>
      <c r="AH496" s="16"/>
      <c r="AI496" s="16"/>
      <c r="AJ496" s="16"/>
      <c r="AK496" s="16"/>
      <c r="AL496" s="16"/>
      <c r="AM496" s="16"/>
      <c r="AN496" s="16"/>
      <c r="AO496" s="16"/>
      <c r="AP496" s="16"/>
      <c r="AQ496" s="16"/>
      <c r="AR496" s="16"/>
      <c r="AS496" s="16"/>
    </row>
    <row r="497" spans="1:45" s="8" customFormat="1" x14ac:dyDescent="0.35">
      <c r="A497" s="16"/>
      <c r="B497" s="16"/>
      <c r="C497" s="16"/>
      <c r="D497" s="16"/>
      <c r="E497" s="16"/>
      <c r="F497" s="16"/>
      <c r="G497" s="16"/>
      <c r="H497" s="16"/>
      <c r="I497" s="16"/>
      <c r="J497" s="16"/>
      <c r="K497" s="16"/>
      <c r="L497" s="16"/>
      <c r="M497" s="16"/>
      <c r="AH497" s="16"/>
      <c r="AI497" s="16"/>
      <c r="AJ497" s="16"/>
      <c r="AK497" s="16"/>
      <c r="AL497" s="16"/>
      <c r="AM497" s="16"/>
      <c r="AN497" s="16"/>
      <c r="AO497" s="16"/>
      <c r="AP497" s="16"/>
      <c r="AQ497" s="16"/>
      <c r="AR497" s="16"/>
      <c r="AS497" s="16"/>
    </row>
    <row r="498" spans="1:45" s="8" customFormat="1" x14ac:dyDescent="0.35">
      <c r="A498" s="16"/>
      <c r="B498" s="16"/>
      <c r="C498" s="16"/>
      <c r="D498" s="16"/>
      <c r="E498" s="16"/>
      <c r="F498" s="16"/>
      <c r="G498" s="16"/>
      <c r="H498" s="16"/>
      <c r="I498" s="16"/>
      <c r="J498" s="16"/>
      <c r="K498" s="16"/>
      <c r="L498" s="16"/>
      <c r="M498" s="16"/>
      <c r="AH498" s="16"/>
      <c r="AI498" s="16"/>
      <c r="AJ498" s="16"/>
      <c r="AK498" s="16"/>
      <c r="AL498" s="16"/>
      <c r="AM498" s="16"/>
      <c r="AN498" s="16"/>
      <c r="AO498" s="16"/>
      <c r="AP498" s="16"/>
      <c r="AQ498" s="16"/>
      <c r="AR498" s="16"/>
      <c r="AS498" s="16"/>
    </row>
    <row r="499" spans="1:45" s="8" customFormat="1" x14ac:dyDescent="0.35">
      <c r="A499" s="16"/>
      <c r="B499" s="16"/>
      <c r="C499" s="16"/>
      <c r="D499" s="16"/>
      <c r="E499" s="16"/>
      <c r="F499" s="16"/>
      <c r="G499" s="16"/>
      <c r="H499" s="16"/>
      <c r="I499" s="16"/>
      <c r="J499" s="16"/>
      <c r="K499" s="16"/>
      <c r="L499" s="16"/>
      <c r="M499" s="16"/>
      <c r="AH499" s="16"/>
      <c r="AI499" s="16"/>
      <c r="AJ499" s="16"/>
      <c r="AK499" s="16"/>
      <c r="AL499" s="16"/>
      <c r="AM499" s="16"/>
      <c r="AN499" s="16"/>
      <c r="AO499" s="16"/>
      <c r="AP499" s="16"/>
      <c r="AQ499" s="16"/>
      <c r="AR499" s="16"/>
      <c r="AS499" s="16"/>
    </row>
    <row r="500" spans="1:45" s="8" customFormat="1" x14ac:dyDescent="0.35">
      <c r="A500" s="16"/>
      <c r="B500" s="16"/>
      <c r="C500" s="16"/>
      <c r="D500" s="16"/>
      <c r="E500" s="16"/>
      <c r="F500" s="16"/>
      <c r="G500" s="16"/>
      <c r="H500" s="16"/>
      <c r="I500" s="16"/>
      <c r="J500" s="16"/>
      <c r="K500" s="16"/>
      <c r="L500" s="16"/>
      <c r="M500" s="16"/>
      <c r="AH500" s="16"/>
      <c r="AI500" s="16"/>
      <c r="AJ500" s="16"/>
      <c r="AK500" s="16"/>
      <c r="AL500" s="16"/>
      <c r="AM500" s="16"/>
      <c r="AN500" s="16"/>
      <c r="AO500" s="16"/>
      <c r="AP500" s="16"/>
      <c r="AQ500" s="16"/>
      <c r="AR500" s="16"/>
      <c r="AS500" s="16"/>
    </row>
    <row r="501" spans="1:45" s="8" customFormat="1" x14ac:dyDescent="0.35">
      <c r="A501" s="16"/>
      <c r="B501" s="16"/>
      <c r="C501" s="16"/>
      <c r="D501" s="16"/>
      <c r="E501" s="16"/>
      <c r="F501" s="16"/>
      <c r="G501" s="16"/>
      <c r="H501" s="16"/>
      <c r="I501" s="16"/>
      <c r="J501" s="16"/>
      <c r="K501" s="16"/>
      <c r="L501" s="16"/>
      <c r="M501" s="16"/>
      <c r="AH501" s="16"/>
      <c r="AI501" s="16"/>
      <c r="AJ501" s="16"/>
      <c r="AK501" s="16"/>
      <c r="AL501" s="16"/>
      <c r="AM501" s="16"/>
      <c r="AN501" s="16"/>
      <c r="AO501" s="16"/>
      <c r="AP501" s="16"/>
      <c r="AQ501" s="16"/>
      <c r="AR501" s="16"/>
      <c r="AS501" s="16"/>
    </row>
    <row r="502" spans="1:45" s="8" customFormat="1" x14ac:dyDescent="0.35">
      <c r="A502" s="16"/>
      <c r="B502" s="16"/>
      <c r="C502" s="16"/>
      <c r="D502" s="16"/>
      <c r="E502" s="16"/>
      <c r="F502" s="16"/>
      <c r="G502" s="16"/>
      <c r="H502" s="16"/>
      <c r="I502" s="16"/>
      <c r="J502" s="16"/>
      <c r="K502" s="16"/>
      <c r="L502" s="16"/>
      <c r="M502" s="16"/>
      <c r="AH502" s="16"/>
      <c r="AI502" s="16"/>
      <c r="AJ502" s="16"/>
      <c r="AK502" s="16"/>
      <c r="AL502" s="16"/>
      <c r="AM502" s="16"/>
      <c r="AN502" s="16"/>
      <c r="AO502" s="16"/>
      <c r="AP502" s="16"/>
      <c r="AQ502" s="16"/>
      <c r="AR502" s="16"/>
      <c r="AS502" s="16"/>
    </row>
    <row r="503" spans="1:45" s="8" customFormat="1" x14ac:dyDescent="0.35">
      <c r="A503" s="16"/>
      <c r="B503" s="16"/>
      <c r="C503" s="16"/>
      <c r="D503" s="16"/>
      <c r="E503" s="16"/>
      <c r="F503" s="16"/>
      <c r="G503" s="16"/>
      <c r="H503" s="16"/>
      <c r="I503" s="16"/>
      <c r="J503" s="16"/>
      <c r="K503" s="16"/>
      <c r="L503" s="16"/>
      <c r="M503" s="16"/>
      <c r="AH503" s="16"/>
      <c r="AI503" s="16"/>
      <c r="AJ503" s="16"/>
      <c r="AK503" s="16"/>
      <c r="AL503" s="16"/>
      <c r="AM503" s="16"/>
      <c r="AN503" s="16"/>
      <c r="AO503" s="16"/>
      <c r="AP503" s="16"/>
      <c r="AQ503" s="16"/>
      <c r="AR503" s="16"/>
      <c r="AS503" s="16"/>
    </row>
    <row r="504" spans="1:45" s="8" customFormat="1" x14ac:dyDescent="0.35">
      <c r="A504" s="16"/>
      <c r="B504" s="16"/>
      <c r="C504" s="16"/>
      <c r="D504" s="16"/>
      <c r="E504" s="16"/>
      <c r="F504" s="16"/>
      <c r="G504" s="16"/>
      <c r="H504" s="16"/>
      <c r="I504" s="16"/>
      <c r="J504" s="16"/>
      <c r="K504" s="16"/>
      <c r="L504" s="16"/>
      <c r="M504" s="16"/>
      <c r="AH504" s="16"/>
      <c r="AI504" s="16"/>
      <c r="AJ504" s="16"/>
      <c r="AK504" s="16"/>
      <c r="AL504" s="16"/>
      <c r="AM504" s="16"/>
      <c r="AN504" s="16"/>
      <c r="AO504" s="16"/>
      <c r="AP504" s="16"/>
      <c r="AQ504" s="16"/>
      <c r="AR504" s="16"/>
      <c r="AS504" s="16"/>
    </row>
    <row r="505" spans="1:45" s="8" customFormat="1" x14ac:dyDescent="0.35">
      <c r="A505" s="16"/>
      <c r="B505" s="16"/>
      <c r="C505" s="16"/>
      <c r="D505" s="16"/>
      <c r="E505" s="16"/>
      <c r="F505" s="16"/>
      <c r="G505" s="16"/>
      <c r="H505" s="16"/>
      <c r="I505" s="16"/>
      <c r="J505" s="16"/>
      <c r="K505" s="16"/>
      <c r="L505" s="16"/>
      <c r="M505" s="16"/>
      <c r="AH505" s="16"/>
      <c r="AI505" s="16"/>
      <c r="AJ505" s="16"/>
      <c r="AK505" s="16"/>
      <c r="AL505" s="16"/>
      <c r="AM505" s="16"/>
      <c r="AN505" s="16"/>
      <c r="AO505" s="16"/>
      <c r="AP505" s="16"/>
      <c r="AQ505" s="16"/>
      <c r="AR505" s="16"/>
      <c r="AS505" s="16"/>
    </row>
    <row r="506" spans="1:45" s="8" customFormat="1" x14ac:dyDescent="0.35">
      <c r="A506" s="16"/>
      <c r="B506" s="16"/>
      <c r="C506" s="16"/>
      <c r="D506" s="16"/>
      <c r="E506" s="16"/>
      <c r="F506" s="16"/>
      <c r="G506" s="16"/>
      <c r="H506" s="16"/>
      <c r="I506" s="16"/>
      <c r="J506" s="16"/>
      <c r="K506" s="16"/>
      <c r="L506" s="16"/>
      <c r="M506" s="16"/>
      <c r="AH506" s="16"/>
      <c r="AI506" s="16"/>
      <c r="AJ506" s="16"/>
      <c r="AK506" s="16"/>
      <c r="AL506" s="16"/>
      <c r="AM506" s="16"/>
      <c r="AN506" s="16"/>
      <c r="AO506" s="16"/>
      <c r="AP506" s="16"/>
      <c r="AQ506" s="16"/>
      <c r="AR506" s="16"/>
      <c r="AS506" s="16"/>
    </row>
    <row r="507" spans="1:45" s="8" customFormat="1" x14ac:dyDescent="0.35">
      <c r="A507" s="16"/>
      <c r="B507" s="16"/>
      <c r="C507" s="16"/>
      <c r="D507" s="16"/>
      <c r="E507" s="16"/>
      <c r="F507" s="16"/>
      <c r="G507" s="16"/>
      <c r="H507" s="16"/>
      <c r="I507" s="16"/>
      <c r="J507" s="16"/>
      <c r="K507" s="16"/>
      <c r="L507" s="16"/>
      <c r="M507" s="16"/>
      <c r="AH507" s="16"/>
      <c r="AI507" s="16"/>
      <c r="AJ507" s="16"/>
      <c r="AK507" s="16"/>
      <c r="AL507" s="16"/>
      <c r="AM507" s="16"/>
      <c r="AN507" s="16"/>
      <c r="AO507" s="16"/>
      <c r="AP507" s="16"/>
      <c r="AQ507" s="16"/>
      <c r="AR507" s="16"/>
      <c r="AS507" s="16"/>
    </row>
    <row r="508" spans="1:45" s="8" customFormat="1" x14ac:dyDescent="0.35">
      <c r="A508" s="16"/>
      <c r="B508" s="16"/>
      <c r="C508" s="16"/>
      <c r="D508" s="16"/>
      <c r="E508" s="16"/>
      <c r="F508" s="16"/>
      <c r="G508" s="16"/>
      <c r="H508" s="16"/>
      <c r="I508" s="16"/>
      <c r="J508" s="16"/>
      <c r="K508" s="16"/>
      <c r="L508" s="16"/>
      <c r="M508" s="16"/>
      <c r="AH508" s="16"/>
      <c r="AI508" s="16"/>
      <c r="AJ508" s="16"/>
      <c r="AK508" s="16"/>
      <c r="AL508" s="16"/>
      <c r="AM508" s="16"/>
      <c r="AN508" s="16"/>
      <c r="AO508" s="16"/>
      <c r="AP508" s="16"/>
      <c r="AQ508" s="16"/>
      <c r="AR508" s="16"/>
      <c r="AS508" s="16"/>
    </row>
    <row r="509" spans="1:45" s="8" customFormat="1" x14ac:dyDescent="0.35">
      <c r="A509" s="16"/>
      <c r="B509" s="16"/>
      <c r="C509" s="16"/>
      <c r="D509" s="16"/>
      <c r="E509" s="16"/>
      <c r="F509" s="16"/>
      <c r="G509" s="16"/>
      <c r="H509" s="16"/>
      <c r="I509" s="16"/>
      <c r="J509" s="16"/>
      <c r="K509" s="16"/>
      <c r="L509" s="16"/>
      <c r="M509" s="16"/>
      <c r="AH509" s="16"/>
      <c r="AI509" s="16"/>
      <c r="AJ509" s="16"/>
      <c r="AK509" s="16"/>
      <c r="AL509" s="16"/>
      <c r="AM509" s="16"/>
      <c r="AN509" s="16"/>
      <c r="AO509" s="16"/>
      <c r="AP509" s="16"/>
      <c r="AQ509" s="16"/>
      <c r="AR509" s="16"/>
      <c r="AS509" s="16"/>
    </row>
    <row r="510" spans="1:45" s="8" customFormat="1" x14ac:dyDescent="0.35">
      <c r="A510" s="16"/>
      <c r="B510" s="16"/>
      <c r="C510" s="16"/>
      <c r="D510" s="16"/>
      <c r="E510" s="16"/>
      <c r="F510" s="16"/>
      <c r="G510" s="16"/>
      <c r="H510" s="16"/>
      <c r="I510" s="16"/>
      <c r="J510" s="16"/>
      <c r="K510" s="16"/>
      <c r="L510" s="16"/>
      <c r="M510" s="16"/>
      <c r="AH510" s="16"/>
      <c r="AI510" s="16"/>
      <c r="AJ510" s="16"/>
      <c r="AK510" s="16"/>
      <c r="AL510" s="16"/>
      <c r="AM510" s="16"/>
      <c r="AN510" s="16"/>
      <c r="AO510" s="16"/>
      <c r="AP510" s="16"/>
      <c r="AQ510" s="16"/>
      <c r="AR510" s="16"/>
      <c r="AS510" s="16"/>
    </row>
    <row r="511" spans="1:45" s="8" customFormat="1" x14ac:dyDescent="0.35">
      <c r="A511" s="16"/>
      <c r="B511" s="16"/>
      <c r="C511" s="16"/>
      <c r="D511" s="16"/>
      <c r="E511" s="16"/>
      <c r="F511" s="16"/>
      <c r="G511" s="16"/>
      <c r="H511" s="16"/>
      <c r="I511" s="16"/>
      <c r="J511" s="16"/>
      <c r="K511" s="16"/>
      <c r="L511" s="16"/>
      <c r="M511" s="16"/>
      <c r="AH511" s="16"/>
      <c r="AI511" s="16"/>
      <c r="AJ511" s="16"/>
      <c r="AK511" s="16"/>
      <c r="AL511" s="16"/>
      <c r="AM511" s="16"/>
      <c r="AN511" s="16"/>
      <c r="AO511" s="16"/>
      <c r="AP511" s="16"/>
      <c r="AQ511" s="16"/>
      <c r="AR511" s="16"/>
      <c r="AS511" s="16"/>
    </row>
    <row r="512" spans="1:45" s="8" customFormat="1" x14ac:dyDescent="0.35">
      <c r="A512" s="16"/>
      <c r="B512" s="16"/>
      <c r="C512" s="16"/>
      <c r="D512" s="16"/>
      <c r="E512" s="16"/>
      <c r="F512" s="16"/>
      <c r="G512" s="16"/>
      <c r="H512" s="16"/>
      <c r="I512" s="16"/>
      <c r="J512" s="16"/>
      <c r="K512" s="16"/>
      <c r="L512" s="16"/>
      <c r="M512" s="16"/>
      <c r="AH512" s="16"/>
      <c r="AI512" s="16"/>
      <c r="AJ512" s="16"/>
      <c r="AK512" s="16"/>
      <c r="AL512" s="16"/>
      <c r="AM512" s="16"/>
      <c r="AN512" s="16"/>
      <c r="AO512" s="16"/>
      <c r="AP512" s="16"/>
      <c r="AQ512" s="16"/>
      <c r="AR512" s="16"/>
      <c r="AS512" s="16"/>
    </row>
    <row r="513" spans="1:45" s="8" customFormat="1" x14ac:dyDescent="0.35">
      <c r="A513" s="16"/>
      <c r="B513" s="16"/>
      <c r="C513" s="16"/>
      <c r="D513" s="16"/>
      <c r="E513" s="16"/>
      <c r="F513" s="16"/>
      <c r="G513" s="16"/>
      <c r="H513" s="16"/>
      <c r="I513" s="16"/>
      <c r="J513" s="16"/>
      <c r="K513" s="16"/>
      <c r="L513" s="16"/>
      <c r="M513" s="16"/>
      <c r="AH513" s="16"/>
      <c r="AI513" s="16"/>
      <c r="AJ513" s="16"/>
      <c r="AK513" s="16"/>
      <c r="AL513" s="16"/>
      <c r="AM513" s="16"/>
      <c r="AN513" s="16"/>
      <c r="AO513" s="16"/>
      <c r="AP513" s="16"/>
      <c r="AQ513" s="16"/>
      <c r="AR513" s="16"/>
      <c r="AS513" s="16"/>
    </row>
    <row r="514" spans="1:45" s="8" customFormat="1" x14ac:dyDescent="0.35">
      <c r="A514" s="16"/>
      <c r="B514" s="16"/>
      <c r="C514" s="16"/>
      <c r="D514" s="16"/>
      <c r="E514" s="16"/>
      <c r="F514" s="16"/>
      <c r="G514" s="16"/>
      <c r="H514" s="16"/>
      <c r="I514" s="16"/>
      <c r="J514" s="16"/>
      <c r="K514" s="16"/>
      <c r="L514" s="16"/>
      <c r="M514" s="16"/>
      <c r="AH514" s="16"/>
      <c r="AI514" s="16"/>
      <c r="AJ514" s="16"/>
      <c r="AK514" s="16"/>
      <c r="AL514" s="16"/>
      <c r="AM514" s="16"/>
      <c r="AN514" s="16"/>
      <c r="AO514" s="16"/>
      <c r="AP514" s="16"/>
      <c r="AQ514" s="16"/>
      <c r="AR514" s="16"/>
      <c r="AS514" s="16"/>
    </row>
    <row r="515" spans="1:45" s="8" customFormat="1" x14ac:dyDescent="0.35">
      <c r="A515" s="16"/>
      <c r="B515" s="16"/>
      <c r="C515" s="16"/>
      <c r="D515" s="16"/>
      <c r="E515" s="16"/>
      <c r="F515" s="16"/>
      <c r="G515" s="16"/>
      <c r="H515" s="16"/>
      <c r="I515" s="16"/>
      <c r="J515" s="16"/>
      <c r="K515" s="16"/>
      <c r="L515" s="16"/>
      <c r="M515" s="16"/>
      <c r="AH515" s="16"/>
      <c r="AI515" s="16"/>
      <c r="AJ515" s="16"/>
      <c r="AK515" s="16"/>
      <c r="AL515" s="16"/>
      <c r="AM515" s="16"/>
      <c r="AN515" s="16"/>
      <c r="AO515" s="16"/>
      <c r="AP515" s="16"/>
      <c r="AQ515" s="16"/>
      <c r="AR515" s="16"/>
      <c r="AS515" s="16"/>
    </row>
    <row r="516" spans="1:45" s="8" customFormat="1" x14ac:dyDescent="0.35">
      <c r="A516" s="16"/>
      <c r="B516" s="16"/>
      <c r="C516" s="16"/>
      <c r="D516" s="16"/>
      <c r="E516" s="16"/>
      <c r="F516" s="16"/>
      <c r="G516" s="16"/>
      <c r="H516" s="16"/>
      <c r="I516" s="16"/>
      <c r="J516" s="16"/>
      <c r="K516" s="16"/>
      <c r="L516" s="16"/>
      <c r="M516" s="16"/>
      <c r="AH516" s="16"/>
      <c r="AI516" s="16"/>
      <c r="AJ516" s="16"/>
      <c r="AK516" s="16"/>
      <c r="AL516" s="16"/>
      <c r="AM516" s="16"/>
      <c r="AN516" s="16"/>
      <c r="AO516" s="16"/>
      <c r="AP516" s="16"/>
      <c r="AQ516" s="16"/>
      <c r="AR516" s="16"/>
      <c r="AS516" s="16"/>
    </row>
    <row r="517" spans="1:45" s="8" customFormat="1" x14ac:dyDescent="0.35">
      <c r="A517" s="16"/>
      <c r="B517" s="16"/>
      <c r="C517" s="16"/>
      <c r="D517" s="16"/>
      <c r="E517" s="16"/>
      <c r="F517" s="16"/>
      <c r="G517" s="16"/>
      <c r="H517" s="16"/>
      <c r="I517" s="16"/>
      <c r="J517" s="16"/>
      <c r="K517" s="16"/>
      <c r="L517" s="16"/>
      <c r="M517" s="16"/>
      <c r="AH517" s="16"/>
      <c r="AI517" s="16"/>
      <c r="AJ517" s="16"/>
      <c r="AK517" s="16"/>
      <c r="AL517" s="16"/>
      <c r="AM517" s="16"/>
      <c r="AN517" s="16"/>
      <c r="AO517" s="16"/>
      <c r="AP517" s="16"/>
      <c r="AQ517" s="16"/>
      <c r="AR517" s="16"/>
      <c r="AS517" s="16"/>
    </row>
    <row r="518" spans="1:45" s="8" customFormat="1" x14ac:dyDescent="0.35">
      <c r="A518" s="16"/>
      <c r="B518" s="16"/>
      <c r="C518" s="16"/>
      <c r="D518" s="16"/>
      <c r="E518" s="16"/>
      <c r="F518" s="16"/>
      <c r="G518" s="16"/>
      <c r="H518" s="16"/>
      <c r="I518" s="16"/>
      <c r="J518" s="16"/>
      <c r="K518" s="16"/>
      <c r="L518" s="16"/>
      <c r="M518" s="16"/>
      <c r="AH518" s="16"/>
      <c r="AI518" s="16"/>
      <c r="AJ518" s="16"/>
      <c r="AK518" s="16"/>
      <c r="AL518" s="16"/>
      <c r="AM518" s="16"/>
      <c r="AN518" s="16"/>
      <c r="AO518" s="16"/>
      <c r="AP518" s="16"/>
      <c r="AQ518" s="16"/>
      <c r="AR518" s="16"/>
      <c r="AS518" s="16"/>
    </row>
    <row r="519" spans="1:45" s="8" customFormat="1" x14ac:dyDescent="0.35">
      <c r="A519" s="16"/>
      <c r="B519" s="16"/>
      <c r="C519" s="16"/>
      <c r="D519" s="16"/>
      <c r="E519" s="16"/>
      <c r="F519" s="16"/>
      <c r="G519" s="16"/>
      <c r="H519" s="16"/>
      <c r="I519" s="16"/>
      <c r="J519" s="16"/>
      <c r="K519" s="16"/>
      <c r="L519" s="16"/>
      <c r="M519" s="16"/>
      <c r="AH519" s="16"/>
      <c r="AI519" s="16"/>
      <c r="AJ519" s="16"/>
      <c r="AK519" s="16"/>
      <c r="AL519" s="16"/>
      <c r="AM519" s="16"/>
      <c r="AN519" s="16"/>
      <c r="AO519" s="16"/>
      <c r="AP519" s="16"/>
      <c r="AQ519" s="16"/>
      <c r="AR519" s="16"/>
      <c r="AS519" s="16"/>
    </row>
    <row r="520" spans="1:45" s="8" customFormat="1" x14ac:dyDescent="0.35">
      <c r="A520" s="16"/>
      <c r="B520" s="16"/>
      <c r="C520" s="16"/>
      <c r="D520" s="16"/>
      <c r="E520" s="16"/>
      <c r="F520" s="16"/>
      <c r="G520" s="16"/>
      <c r="H520" s="16"/>
      <c r="I520" s="16"/>
      <c r="J520" s="16"/>
      <c r="K520" s="16"/>
      <c r="L520" s="16"/>
      <c r="M520" s="16"/>
      <c r="AH520" s="16"/>
      <c r="AI520" s="16"/>
      <c r="AJ520" s="16"/>
      <c r="AK520" s="16"/>
      <c r="AL520" s="16"/>
      <c r="AM520" s="16"/>
      <c r="AN520" s="16"/>
      <c r="AO520" s="16"/>
      <c r="AP520" s="16"/>
      <c r="AQ520" s="16"/>
      <c r="AR520" s="16"/>
      <c r="AS520" s="16"/>
    </row>
    <row r="521" spans="1:45" s="8" customFormat="1" x14ac:dyDescent="0.35">
      <c r="A521" s="16"/>
      <c r="B521" s="16"/>
      <c r="C521" s="16"/>
      <c r="D521" s="16"/>
      <c r="E521" s="16"/>
      <c r="F521" s="16"/>
      <c r="G521" s="16"/>
      <c r="H521" s="16"/>
      <c r="I521" s="16"/>
      <c r="J521" s="16"/>
      <c r="K521" s="16"/>
      <c r="L521" s="16"/>
      <c r="M521" s="16"/>
      <c r="AH521" s="16"/>
      <c r="AI521" s="16"/>
      <c r="AJ521" s="16"/>
      <c r="AK521" s="16"/>
      <c r="AL521" s="16"/>
      <c r="AM521" s="16"/>
      <c r="AN521" s="16"/>
      <c r="AO521" s="16"/>
      <c r="AP521" s="16"/>
      <c r="AQ521" s="16"/>
      <c r="AR521" s="16"/>
      <c r="AS521" s="16"/>
    </row>
    <row r="522" spans="1:45" s="8" customFormat="1" x14ac:dyDescent="0.35">
      <c r="A522" s="16"/>
      <c r="B522" s="16"/>
      <c r="C522" s="16"/>
      <c r="D522" s="16"/>
      <c r="E522" s="16"/>
      <c r="F522" s="16"/>
      <c r="G522" s="16"/>
      <c r="H522" s="16"/>
      <c r="I522" s="16"/>
      <c r="J522" s="16"/>
      <c r="K522" s="16"/>
      <c r="L522" s="16"/>
      <c r="M522" s="16"/>
      <c r="AH522" s="16"/>
      <c r="AI522" s="16"/>
      <c r="AJ522" s="16"/>
      <c r="AK522" s="16"/>
      <c r="AL522" s="16"/>
      <c r="AM522" s="16"/>
      <c r="AN522" s="16"/>
      <c r="AO522" s="16"/>
      <c r="AP522" s="16"/>
      <c r="AQ522" s="16"/>
      <c r="AR522" s="16"/>
      <c r="AS522" s="16"/>
    </row>
    <row r="523" spans="1:45" s="8" customFormat="1" x14ac:dyDescent="0.35">
      <c r="A523" s="16"/>
      <c r="B523" s="16"/>
      <c r="C523" s="16"/>
      <c r="D523" s="16"/>
      <c r="E523" s="16"/>
      <c r="F523" s="16"/>
      <c r="G523" s="16"/>
      <c r="H523" s="16"/>
      <c r="I523" s="16"/>
      <c r="J523" s="16"/>
      <c r="K523" s="16"/>
      <c r="L523" s="16"/>
      <c r="M523" s="16"/>
      <c r="AH523" s="16"/>
      <c r="AI523" s="16"/>
      <c r="AJ523" s="16"/>
      <c r="AK523" s="16"/>
      <c r="AL523" s="16"/>
      <c r="AM523" s="16"/>
      <c r="AN523" s="16"/>
      <c r="AO523" s="16"/>
      <c r="AP523" s="16"/>
      <c r="AQ523" s="16"/>
      <c r="AR523" s="16"/>
      <c r="AS523" s="16"/>
    </row>
    <row r="524" spans="1:45" s="8" customFormat="1" x14ac:dyDescent="0.35">
      <c r="A524" s="16"/>
      <c r="B524" s="16"/>
      <c r="C524" s="16"/>
      <c r="D524" s="16"/>
      <c r="E524" s="16"/>
      <c r="F524" s="16"/>
      <c r="G524" s="16"/>
      <c r="H524" s="16"/>
      <c r="I524" s="16"/>
      <c r="J524" s="16"/>
      <c r="K524" s="16"/>
      <c r="L524" s="16"/>
      <c r="M524" s="16"/>
      <c r="AH524" s="16"/>
      <c r="AI524" s="16"/>
      <c r="AJ524" s="16"/>
      <c r="AK524" s="16"/>
      <c r="AL524" s="16"/>
      <c r="AM524" s="16"/>
      <c r="AN524" s="16"/>
      <c r="AO524" s="16"/>
      <c r="AP524" s="16"/>
      <c r="AQ524" s="16"/>
      <c r="AR524" s="16"/>
      <c r="AS524" s="16"/>
    </row>
    <row r="525" spans="1:45" s="8" customFormat="1" x14ac:dyDescent="0.35">
      <c r="A525" s="16"/>
      <c r="B525" s="16"/>
      <c r="C525" s="16"/>
      <c r="D525" s="16"/>
      <c r="E525" s="16"/>
      <c r="F525" s="16"/>
      <c r="G525" s="16"/>
      <c r="H525" s="16"/>
      <c r="I525" s="16"/>
      <c r="J525" s="16"/>
      <c r="K525" s="16"/>
      <c r="L525" s="16"/>
      <c r="M525" s="16"/>
      <c r="AH525" s="16"/>
      <c r="AI525" s="16"/>
      <c r="AJ525" s="16"/>
      <c r="AK525" s="16"/>
      <c r="AL525" s="16"/>
      <c r="AM525" s="16"/>
      <c r="AN525" s="16"/>
      <c r="AO525" s="16"/>
      <c r="AP525" s="16"/>
      <c r="AQ525" s="16"/>
      <c r="AR525" s="16"/>
      <c r="AS525" s="16"/>
    </row>
    <row r="526" spans="1:45" s="8" customFormat="1" x14ac:dyDescent="0.35">
      <c r="A526" s="16"/>
      <c r="B526" s="16"/>
      <c r="C526" s="16"/>
      <c r="D526" s="16"/>
      <c r="E526" s="16"/>
      <c r="F526" s="16"/>
      <c r="G526" s="16"/>
      <c r="H526" s="16"/>
      <c r="I526" s="16"/>
      <c r="J526" s="16"/>
      <c r="K526" s="16"/>
      <c r="L526" s="16"/>
      <c r="M526" s="16"/>
      <c r="AH526" s="16"/>
      <c r="AI526" s="16"/>
      <c r="AJ526" s="16"/>
      <c r="AK526" s="16"/>
      <c r="AL526" s="16"/>
      <c r="AM526" s="16"/>
      <c r="AN526" s="16"/>
      <c r="AO526" s="16"/>
      <c r="AP526" s="16"/>
      <c r="AQ526" s="16"/>
      <c r="AR526" s="16"/>
      <c r="AS526" s="16"/>
    </row>
    <row r="527" spans="1:45" s="8" customFormat="1" x14ac:dyDescent="0.35">
      <c r="A527" s="16"/>
      <c r="B527" s="16"/>
      <c r="C527" s="16"/>
      <c r="D527" s="16"/>
      <c r="E527" s="16"/>
      <c r="F527" s="16"/>
      <c r="G527" s="16"/>
      <c r="H527" s="16"/>
      <c r="I527" s="16"/>
      <c r="J527" s="16"/>
      <c r="K527" s="16"/>
      <c r="L527" s="16"/>
      <c r="M527" s="16"/>
      <c r="AH527" s="16"/>
      <c r="AI527" s="16"/>
      <c r="AJ527" s="16"/>
      <c r="AK527" s="16"/>
      <c r="AL527" s="16"/>
      <c r="AM527" s="16"/>
      <c r="AN527" s="16"/>
      <c r="AO527" s="16"/>
      <c r="AP527" s="16"/>
      <c r="AQ527" s="16"/>
      <c r="AR527" s="16"/>
      <c r="AS527" s="16"/>
    </row>
    <row r="528" spans="1:45" s="8" customFormat="1" x14ac:dyDescent="0.35">
      <c r="A528" s="16"/>
      <c r="B528" s="16"/>
      <c r="C528" s="16"/>
      <c r="D528" s="16"/>
      <c r="E528" s="16"/>
      <c r="F528" s="16"/>
      <c r="G528" s="16"/>
      <c r="H528" s="16"/>
      <c r="I528" s="16"/>
      <c r="J528" s="16"/>
      <c r="K528" s="16"/>
      <c r="L528" s="16"/>
      <c r="M528" s="16"/>
      <c r="AH528" s="16"/>
      <c r="AI528" s="16"/>
      <c r="AJ528" s="16"/>
      <c r="AK528" s="16"/>
      <c r="AL528" s="16"/>
      <c r="AM528" s="16"/>
      <c r="AN528" s="16"/>
      <c r="AO528" s="16"/>
      <c r="AP528" s="16"/>
      <c r="AQ528" s="16"/>
      <c r="AR528" s="16"/>
      <c r="AS528" s="16"/>
    </row>
    <row r="529" spans="1:45" s="8" customFormat="1" x14ac:dyDescent="0.35">
      <c r="A529" s="16"/>
      <c r="B529" s="16"/>
      <c r="C529" s="16"/>
      <c r="D529" s="16"/>
      <c r="E529" s="16"/>
      <c r="F529" s="16"/>
      <c r="G529" s="16"/>
      <c r="H529" s="16"/>
      <c r="I529" s="16"/>
      <c r="J529" s="16"/>
      <c r="K529" s="16"/>
      <c r="L529" s="16"/>
      <c r="M529" s="16"/>
      <c r="AH529" s="16"/>
      <c r="AI529" s="16"/>
      <c r="AJ529" s="16"/>
      <c r="AK529" s="16"/>
      <c r="AL529" s="16"/>
      <c r="AM529" s="16"/>
      <c r="AN529" s="16"/>
      <c r="AO529" s="16"/>
      <c r="AP529" s="16"/>
      <c r="AQ529" s="16"/>
      <c r="AR529" s="16"/>
      <c r="AS529" s="16"/>
    </row>
    <row r="530" spans="1:45" s="8" customFormat="1" x14ac:dyDescent="0.35">
      <c r="A530" s="16"/>
      <c r="B530" s="16"/>
      <c r="C530" s="16"/>
      <c r="D530" s="16"/>
      <c r="E530" s="16"/>
      <c r="F530" s="16"/>
      <c r="G530" s="16"/>
      <c r="H530" s="16"/>
      <c r="I530" s="16"/>
      <c r="J530" s="16"/>
      <c r="K530" s="16"/>
      <c r="L530" s="16"/>
      <c r="M530" s="16"/>
      <c r="AH530" s="16"/>
      <c r="AI530" s="16"/>
      <c r="AJ530" s="16"/>
      <c r="AK530" s="16"/>
      <c r="AL530" s="16"/>
      <c r="AM530" s="16"/>
      <c r="AN530" s="16"/>
      <c r="AO530" s="16"/>
      <c r="AP530" s="16"/>
      <c r="AQ530" s="16"/>
      <c r="AR530" s="16"/>
      <c r="AS530" s="16"/>
    </row>
    <row r="531" spans="1:45" s="8" customFormat="1" x14ac:dyDescent="0.35">
      <c r="A531" s="16"/>
      <c r="B531" s="16"/>
      <c r="C531" s="16"/>
      <c r="D531" s="16"/>
      <c r="E531" s="16"/>
      <c r="F531" s="16"/>
      <c r="G531" s="16"/>
      <c r="H531" s="16"/>
      <c r="I531" s="16"/>
      <c r="J531" s="16"/>
      <c r="K531" s="16"/>
      <c r="L531" s="16"/>
      <c r="M531" s="16"/>
      <c r="AH531" s="16"/>
      <c r="AI531" s="16"/>
      <c r="AJ531" s="16"/>
      <c r="AK531" s="16"/>
      <c r="AL531" s="16"/>
      <c r="AM531" s="16"/>
      <c r="AN531" s="16"/>
      <c r="AO531" s="16"/>
      <c r="AP531" s="16"/>
      <c r="AQ531" s="16"/>
      <c r="AR531" s="16"/>
      <c r="AS531" s="16"/>
    </row>
    <row r="532" spans="1:45" s="8" customFormat="1" x14ac:dyDescent="0.35">
      <c r="A532" s="16"/>
      <c r="B532" s="16"/>
      <c r="C532" s="16"/>
      <c r="D532" s="16"/>
      <c r="E532" s="16"/>
      <c r="F532" s="16"/>
      <c r="G532" s="16"/>
      <c r="H532" s="16"/>
      <c r="I532" s="16"/>
      <c r="J532" s="16"/>
      <c r="K532" s="16"/>
      <c r="L532" s="16"/>
      <c r="M532" s="16"/>
      <c r="AH532" s="16"/>
      <c r="AI532" s="16"/>
      <c r="AJ532" s="16"/>
      <c r="AK532" s="16"/>
      <c r="AL532" s="16"/>
      <c r="AM532" s="16"/>
      <c r="AN532" s="16"/>
      <c r="AO532" s="16"/>
      <c r="AP532" s="16"/>
      <c r="AQ532" s="16"/>
      <c r="AR532" s="16"/>
      <c r="AS532" s="16"/>
    </row>
    <row r="533" spans="1:45" s="8" customFormat="1" x14ac:dyDescent="0.35">
      <c r="A533" s="16"/>
      <c r="B533" s="16"/>
      <c r="C533" s="16"/>
      <c r="D533" s="16"/>
      <c r="E533" s="16"/>
      <c r="F533" s="16"/>
      <c r="G533" s="16"/>
      <c r="H533" s="16"/>
      <c r="I533" s="16"/>
      <c r="J533" s="16"/>
      <c r="K533" s="16"/>
      <c r="L533" s="16"/>
      <c r="M533" s="16"/>
      <c r="AH533" s="16"/>
      <c r="AI533" s="16"/>
      <c r="AJ533" s="16"/>
      <c r="AK533" s="16"/>
      <c r="AL533" s="16"/>
      <c r="AM533" s="16"/>
      <c r="AN533" s="16"/>
      <c r="AO533" s="16"/>
      <c r="AP533" s="16"/>
      <c r="AQ533" s="16"/>
      <c r="AR533" s="16"/>
      <c r="AS533" s="16"/>
    </row>
    <row r="534" spans="1:45" s="8" customFormat="1" x14ac:dyDescent="0.35">
      <c r="A534" s="16"/>
      <c r="B534" s="16"/>
      <c r="C534" s="16"/>
      <c r="D534" s="16"/>
      <c r="E534" s="16"/>
      <c r="F534" s="16"/>
      <c r="G534" s="16"/>
      <c r="H534" s="16"/>
      <c r="I534" s="16"/>
      <c r="J534" s="16"/>
      <c r="K534" s="16"/>
      <c r="L534" s="16"/>
      <c r="M534" s="16"/>
      <c r="AH534" s="16"/>
      <c r="AI534" s="16"/>
      <c r="AJ534" s="16"/>
      <c r="AK534" s="16"/>
      <c r="AL534" s="16"/>
      <c r="AM534" s="16"/>
      <c r="AN534" s="16"/>
      <c r="AO534" s="16"/>
      <c r="AP534" s="16"/>
      <c r="AQ534" s="16"/>
      <c r="AR534" s="16"/>
      <c r="AS534" s="16"/>
    </row>
    <row r="535" spans="1:45" s="8" customFormat="1" x14ac:dyDescent="0.35">
      <c r="A535" s="16"/>
      <c r="B535" s="16"/>
      <c r="C535" s="16"/>
      <c r="D535" s="16"/>
      <c r="E535" s="16"/>
      <c r="F535" s="16"/>
      <c r="G535" s="16"/>
      <c r="H535" s="16"/>
      <c r="I535" s="16"/>
      <c r="J535" s="16"/>
      <c r="K535" s="16"/>
      <c r="L535" s="16"/>
      <c r="M535" s="16"/>
      <c r="AH535" s="16"/>
      <c r="AI535" s="16"/>
      <c r="AJ535" s="16"/>
      <c r="AK535" s="16"/>
      <c r="AL535" s="16"/>
      <c r="AM535" s="16"/>
      <c r="AN535" s="16"/>
      <c r="AO535" s="16"/>
      <c r="AP535" s="16"/>
      <c r="AQ535" s="16"/>
      <c r="AR535" s="16"/>
      <c r="AS535" s="16"/>
    </row>
    <row r="536" spans="1:45" s="8" customFormat="1" x14ac:dyDescent="0.35">
      <c r="A536" s="16"/>
      <c r="B536" s="16"/>
      <c r="C536" s="16"/>
      <c r="D536" s="16"/>
      <c r="E536" s="16"/>
      <c r="F536" s="16"/>
      <c r="G536" s="16"/>
      <c r="H536" s="16"/>
      <c r="I536" s="16"/>
      <c r="J536" s="16"/>
      <c r="K536" s="16"/>
      <c r="L536" s="16"/>
      <c r="M536" s="16"/>
      <c r="AH536" s="16"/>
      <c r="AI536" s="16"/>
      <c r="AJ536" s="16"/>
      <c r="AK536" s="16"/>
      <c r="AL536" s="16"/>
      <c r="AM536" s="16"/>
      <c r="AN536" s="16"/>
      <c r="AO536" s="16"/>
      <c r="AP536" s="16"/>
      <c r="AQ536" s="16"/>
      <c r="AR536" s="16"/>
      <c r="AS536" s="16"/>
    </row>
    <row r="537" spans="1:45" s="8" customFormat="1" x14ac:dyDescent="0.35">
      <c r="A537" s="16"/>
      <c r="B537" s="16"/>
      <c r="C537" s="16"/>
      <c r="D537" s="16"/>
      <c r="E537" s="16"/>
      <c r="F537" s="16"/>
      <c r="G537" s="16"/>
      <c r="H537" s="16"/>
      <c r="I537" s="16"/>
      <c r="J537" s="16"/>
      <c r="K537" s="16"/>
      <c r="L537" s="16"/>
      <c r="M537" s="16"/>
      <c r="AH537" s="16"/>
      <c r="AI537" s="16"/>
      <c r="AJ537" s="16"/>
      <c r="AK537" s="16"/>
      <c r="AL537" s="16"/>
      <c r="AM537" s="16"/>
      <c r="AN537" s="16"/>
      <c r="AO537" s="16"/>
      <c r="AP537" s="16"/>
      <c r="AQ537" s="16"/>
      <c r="AR537" s="16"/>
      <c r="AS537" s="16"/>
    </row>
    <row r="538" spans="1:45" s="8" customFormat="1" x14ac:dyDescent="0.35">
      <c r="A538" s="16"/>
      <c r="B538" s="16"/>
      <c r="C538" s="16"/>
      <c r="D538" s="16"/>
      <c r="E538" s="16"/>
      <c r="F538" s="16"/>
      <c r="G538" s="16"/>
      <c r="H538" s="16"/>
      <c r="I538" s="16"/>
      <c r="J538" s="16"/>
      <c r="K538" s="16"/>
      <c r="L538" s="16"/>
      <c r="M538" s="16"/>
      <c r="AH538" s="16"/>
      <c r="AI538" s="16"/>
      <c r="AJ538" s="16"/>
      <c r="AK538" s="16"/>
      <c r="AL538" s="16"/>
      <c r="AM538" s="16"/>
      <c r="AN538" s="16"/>
      <c r="AO538" s="16"/>
      <c r="AP538" s="16"/>
      <c r="AQ538" s="16"/>
      <c r="AR538" s="16"/>
      <c r="AS538" s="16"/>
    </row>
    <row r="539" spans="1:45" s="8" customFormat="1" x14ac:dyDescent="0.35">
      <c r="A539" s="16"/>
      <c r="B539" s="16"/>
      <c r="C539" s="16"/>
      <c r="D539" s="16"/>
      <c r="E539" s="16"/>
      <c r="F539" s="16"/>
      <c r="G539" s="16"/>
      <c r="H539" s="16"/>
      <c r="I539" s="16"/>
      <c r="J539" s="16"/>
      <c r="K539" s="16"/>
      <c r="L539" s="16"/>
      <c r="M539" s="16"/>
      <c r="AH539" s="16"/>
      <c r="AI539" s="16"/>
      <c r="AJ539" s="16"/>
      <c r="AK539" s="16"/>
      <c r="AL539" s="16"/>
      <c r="AM539" s="16"/>
      <c r="AN539" s="16"/>
      <c r="AO539" s="16"/>
      <c r="AP539" s="16"/>
      <c r="AQ539" s="16"/>
      <c r="AR539" s="16"/>
      <c r="AS539" s="16"/>
    </row>
    <row r="540" spans="1:45" s="8" customFormat="1" x14ac:dyDescent="0.35">
      <c r="A540" s="16"/>
      <c r="B540" s="16"/>
      <c r="C540" s="16"/>
      <c r="D540" s="16"/>
      <c r="E540" s="16"/>
      <c r="F540" s="16"/>
      <c r="G540" s="16"/>
      <c r="H540" s="16"/>
      <c r="I540" s="16"/>
      <c r="J540" s="16"/>
      <c r="K540" s="16"/>
      <c r="L540" s="16"/>
      <c r="M540" s="16"/>
      <c r="AH540" s="16"/>
      <c r="AI540" s="16"/>
      <c r="AJ540" s="16"/>
      <c r="AK540" s="16"/>
      <c r="AL540" s="16"/>
      <c r="AM540" s="16"/>
      <c r="AN540" s="16"/>
      <c r="AO540" s="16"/>
      <c r="AP540" s="16"/>
      <c r="AQ540" s="16"/>
      <c r="AR540" s="16"/>
      <c r="AS540" s="16"/>
    </row>
    <row r="541" spans="1:45" s="8" customFormat="1" x14ac:dyDescent="0.35">
      <c r="A541" s="16"/>
      <c r="B541" s="16"/>
      <c r="C541" s="16"/>
      <c r="D541" s="16"/>
      <c r="E541" s="16"/>
      <c r="F541" s="16"/>
      <c r="G541" s="16"/>
      <c r="H541" s="16"/>
      <c r="I541" s="16"/>
      <c r="J541" s="16"/>
      <c r="K541" s="16"/>
      <c r="L541" s="16"/>
      <c r="M541" s="16"/>
      <c r="AH541" s="16"/>
      <c r="AI541" s="16"/>
      <c r="AJ541" s="16"/>
      <c r="AK541" s="16"/>
      <c r="AL541" s="16"/>
      <c r="AM541" s="16"/>
      <c r="AN541" s="16"/>
      <c r="AO541" s="16"/>
      <c r="AP541" s="16"/>
      <c r="AQ541" s="16"/>
      <c r="AR541" s="16"/>
      <c r="AS541" s="16"/>
    </row>
    <row r="542" spans="1:45" s="8" customFormat="1" x14ac:dyDescent="0.35">
      <c r="A542" s="16"/>
      <c r="B542" s="16"/>
      <c r="C542" s="16"/>
      <c r="D542" s="16"/>
      <c r="E542" s="16"/>
      <c r="F542" s="16"/>
      <c r="G542" s="16"/>
      <c r="H542" s="16"/>
      <c r="I542" s="16"/>
      <c r="J542" s="16"/>
      <c r="K542" s="16"/>
      <c r="L542" s="16"/>
      <c r="M542" s="16"/>
      <c r="AH542" s="16"/>
      <c r="AI542" s="16"/>
      <c r="AJ542" s="16"/>
      <c r="AK542" s="16"/>
      <c r="AL542" s="16"/>
      <c r="AM542" s="16"/>
      <c r="AN542" s="16"/>
      <c r="AO542" s="16"/>
      <c r="AP542" s="16"/>
      <c r="AQ542" s="16"/>
      <c r="AR542" s="16"/>
      <c r="AS542" s="16"/>
    </row>
    <row r="543" spans="1:45" s="8" customFormat="1" x14ac:dyDescent="0.35">
      <c r="A543" s="16"/>
      <c r="B543" s="16"/>
      <c r="C543" s="16"/>
      <c r="D543" s="16"/>
      <c r="E543" s="16"/>
      <c r="F543" s="16"/>
      <c r="G543" s="16"/>
      <c r="H543" s="16"/>
      <c r="I543" s="16"/>
      <c r="J543" s="16"/>
      <c r="K543" s="16"/>
      <c r="L543" s="16"/>
      <c r="M543" s="16"/>
      <c r="AH543" s="16"/>
      <c r="AI543" s="16"/>
      <c r="AJ543" s="16"/>
      <c r="AK543" s="16"/>
      <c r="AL543" s="16"/>
      <c r="AM543" s="16"/>
      <c r="AN543" s="16"/>
      <c r="AO543" s="16"/>
      <c r="AP543" s="16"/>
      <c r="AQ543" s="16"/>
      <c r="AR543" s="16"/>
      <c r="AS543" s="16"/>
    </row>
    <row r="544" spans="1:45" s="8" customFormat="1" x14ac:dyDescent="0.35">
      <c r="A544" s="16"/>
      <c r="B544" s="16"/>
      <c r="C544" s="16"/>
      <c r="D544" s="16"/>
      <c r="E544" s="16"/>
      <c r="F544" s="16"/>
      <c r="G544" s="16"/>
      <c r="H544" s="16"/>
      <c r="I544" s="16"/>
      <c r="J544" s="16"/>
      <c r="K544" s="16"/>
      <c r="L544" s="16"/>
      <c r="M544" s="16"/>
      <c r="AH544" s="16"/>
      <c r="AI544" s="16"/>
      <c r="AJ544" s="16"/>
      <c r="AK544" s="16"/>
      <c r="AL544" s="16"/>
      <c r="AM544" s="16"/>
      <c r="AN544" s="16"/>
      <c r="AO544" s="16"/>
      <c r="AP544" s="16"/>
      <c r="AQ544" s="16"/>
      <c r="AR544" s="16"/>
      <c r="AS544" s="16"/>
    </row>
    <row r="545" spans="1:45" s="8" customFormat="1" x14ac:dyDescent="0.35">
      <c r="A545" s="16"/>
      <c r="B545" s="16"/>
      <c r="C545" s="16"/>
      <c r="D545" s="16"/>
      <c r="E545" s="16"/>
      <c r="F545" s="16"/>
      <c r="G545" s="16"/>
      <c r="H545" s="16"/>
      <c r="I545" s="16"/>
      <c r="J545" s="16"/>
      <c r="K545" s="16"/>
      <c r="L545" s="16"/>
      <c r="M545" s="16"/>
      <c r="AH545" s="16"/>
      <c r="AI545" s="16"/>
      <c r="AJ545" s="16"/>
      <c r="AK545" s="16"/>
      <c r="AL545" s="16"/>
      <c r="AM545" s="16"/>
      <c r="AN545" s="16"/>
      <c r="AO545" s="16"/>
      <c r="AP545" s="16"/>
      <c r="AQ545" s="16"/>
      <c r="AR545" s="16"/>
      <c r="AS545" s="16"/>
    </row>
    <row r="546" spans="1:45" s="8" customFormat="1" x14ac:dyDescent="0.35">
      <c r="A546" s="16"/>
      <c r="B546" s="16"/>
      <c r="C546" s="16"/>
      <c r="D546" s="16"/>
      <c r="E546" s="16"/>
      <c r="F546" s="16"/>
      <c r="G546" s="16"/>
      <c r="H546" s="16"/>
      <c r="I546" s="16"/>
      <c r="J546" s="16"/>
      <c r="K546" s="16"/>
      <c r="L546" s="16"/>
      <c r="M546" s="16"/>
      <c r="AH546" s="16"/>
      <c r="AI546" s="16"/>
      <c r="AJ546" s="16"/>
      <c r="AK546" s="16"/>
      <c r="AL546" s="16"/>
      <c r="AM546" s="16"/>
      <c r="AN546" s="16"/>
      <c r="AO546" s="16"/>
      <c r="AP546" s="16"/>
      <c r="AQ546" s="16"/>
      <c r="AR546" s="16"/>
      <c r="AS546" s="16"/>
    </row>
    <row r="547" spans="1:45" s="8" customFormat="1" x14ac:dyDescent="0.35">
      <c r="A547" s="16"/>
      <c r="B547" s="16"/>
      <c r="C547" s="16"/>
      <c r="D547" s="16"/>
      <c r="E547" s="16"/>
      <c r="F547" s="16"/>
      <c r="G547" s="16"/>
      <c r="H547" s="16"/>
      <c r="I547" s="16"/>
      <c r="J547" s="16"/>
      <c r="K547" s="16"/>
      <c r="L547" s="16"/>
      <c r="M547" s="16"/>
      <c r="AH547" s="16"/>
      <c r="AI547" s="16"/>
      <c r="AJ547" s="16"/>
      <c r="AK547" s="16"/>
      <c r="AL547" s="16"/>
      <c r="AM547" s="16"/>
      <c r="AN547" s="16"/>
      <c r="AO547" s="16"/>
      <c r="AP547" s="16"/>
      <c r="AQ547" s="16"/>
      <c r="AR547" s="16"/>
      <c r="AS547" s="16"/>
    </row>
    <row r="548" spans="1:45" s="8" customFormat="1" x14ac:dyDescent="0.35">
      <c r="A548" s="16"/>
      <c r="B548" s="16"/>
      <c r="C548" s="16"/>
      <c r="D548" s="16"/>
      <c r="E548" s="16"/>
      <c r="F548" s="16"/>
      <c r="G548" s="16"/>
      <c r="H548" s="16"/>
      <c r="I548" s="16"/>
      <c r="J548" s="16"/>
      <c r="K548" s="16"/>
      <c r="L548" s="16"/>
      <c r="M548" s="16"/>
      <c r="AH548" s="16"/>
      <c r="AI548" s="16"/>
      <c r="AJ548" s="16"/>
      <c r="AK548" s="16"/>
      <c r="AL548" s="16"/>
      <c r="AM548" s="16"/>
      <c r="AN548" s="16"/>
      <c r="AO548" s="16"/>
      <c r="AP548" s="16"/>
      <c r="AQ548" s="16"/>
      <c r="AR548" s="16"/>
      <c r="AS548" s="16"/>
    </row>
    <row r="549" spans="1:45" s="8" customFormat="1" x14ac:dyDescent="0.35">
      <c r="A549" s="16"/>
      <c r="B549" s="16"/>
      <c r="C549" s="16"/>
      <c r="D549" s="16"/>
      <c r="E549" s="16"/>
      <c r="F549" s="16"/>
      <c r="G549" s="16"/>
      <c r="H549" s="16"/>
      <c r="I549" s="16"/>
      <c r="J549" s="16"/>
      <c r="K549" s="16"/>
      <c r="L549" s="16"/>
      <c r="M549" s="16"/>
      <c r="AH549" s="16"/>
      <c r="AI549" s="16"/>
      <c r="AJ549" s="16"/>
      <c r="AK549" s="16"/>
      <c r="AL549" s="16"/>
      <c r="AM549" s="16"/>
      <c r="AN549" s="16"/>
      <c r="AO549" s="16"/>
      <c r="AP549" s="16"/>
      <c r="AQ549" s="16"/>
      <c r="AR549" s="16"/>
      <c r="AS549" s="16"/>
    </row>
    <row r="550" spans="1:45" s="8" customFormat="1" x14ac:dyDescent="0.35">
      <c r="A550" s="16"/>
      <c r="B550" s="16"/>
      <c r="C550" s="16"/>
      <c r="D550" s="16"/>
      <c r="E550" s="16"/>
      <c r="F550" s="16"/>
      <c r="G550" s="16"/>
      <c r="H550" s="16"/>
      <c r="I550" s="16"/>
      <c r="J550" s="16"/>
      <c r="K550" s="16"/>
      <c r="L550" s="16"/>
      <c r="M550" s="16"/>
      <c r="AH550" s="16"/>
      <c r="AI550" s="16"/>
      <c r="AJ550" s="16"/>
      <c r="AK550" s="16"/>
      <c r="AL550" s="16"/>
      <c r="AM550" s="16"/>
      <c r="AN550" s="16"/>
      <c r="AO550" s="16"/>
      <c r="AP550" s="16"/>
      <c r="AQ550" s="16"/>
      <c r="AR550" s="16"/>
      <c r="AS550" s="16"/>
    </row>
    <row r="551" spans="1:45" s="8" customFormat="1" x14ac:dyDescent="0.35">
      <c r="A551" s="16"/>
      <c r="B551" s="16"/>
      <c r="C551" s="16"/>
      <c r="D551" s="16"/>
      <c r="E551" s="16"/>
      <c r="F551" s="16"/>
      <c r="G551" s="16"/>
      <c r="H551" s="16"/>
      <c r="I551" s="16"/>
      <c r="J551" s="16"/>
      <c r="K551" s="16"/>
      <c r="L551" s="16"/>
      <c r="M551" s="16"/>
      <c r="AH551" s="16"/>
      <c r="AI551" s="16"/>
      <c r="AJ551" s="16"/>
      <c r="AK551" s="16"/>
      <c r="AL551" s="16"/>
      <c r="AM551" s="16"/>
      <c r="AN551" s="16"/>
      <c r="AO551" s="16"/>
      <c r="AP551" s="16"/>
      <c r="AQ551" s="16"/>
      <c r="AR551" s="16"/>
      <c r="AS551" s="16"/>
    </row>
    <row r="552" spans="1:45" s="8" customFormat="1" x14ac:dyDescent="0.35">
      <c r="A552" s="16"/>
      <c r="B552" s="16"/>
      <c r="C552" s="16"/>
      <c r="D552" s="16"/>
      <c r="E552" s="16"/>
      <c r="F552" s="16"/>
      <c r="G552" s="16"/>
      <c r="H552" s="16"/>
      <c r="I552" s="16"/>
      <c r="J552" s="16"/>
      <c r="K552" s="16"/>
      <c r="L552" s="16"/>
      <c r="M552" s="16"/>
      <c r="AH552" s="16"/>
      <c r="AI552" s="16"/>
      <c r="AJ552" s="16"/>
      <c r="AK552" s="16"/>
      <c r="AL552" s="16"/>
      <c r="AM552" s="16"/>
      <c r="AN552" s="16"/>
      <c r="AO552" s="16"/>
      <c r="AP552" s="16"/>
      <c r="AQ552" s="16"/>
      <c r="AR552" s="16"/>
      <c r="AS552" s="16"/>
    </row>
    <row r="553" spans="1:45" s="8" customFormat="1" x14ac:dyDescent="0.35">
      <c r="A553" s="16"/>
      <c r="B553" s="16"/>
      <c r="C553" s="16"/>
      <c r="D553" s="16"/>
      <c r="E553" s="16"/>
      <c r="F553" s="16"/>
      <c r="G553" s="16"/>
      <c r="H553" s="16"/>
      <c r="I553" s="16"/>
      <c r="J553" s="16"/>
      <c r="K553" s="16"/>
      <c r="L553" s="16"/>
      <c r="M553" s="16"/>
      <c r="AH553" s="16"/>
      <c r="AI553" s="16"/>
      <c r="AJ553" s="16"/>
      <c r="AK553" s="16"/>
      <c r="AL553" s="16"/>
      <c r="AM553" s="16"/>
      <c r="AN553" s="16"/>
      <c r="AO553" s="16"/>
      <c r="AP553" s="16"/>
      <c r="AQ553" s="16"/>
      <c r="AR553" s="16"/>
      <c r="AS553" s="16"/>
    </row>
    <row r="554" spans="1:45" s="8" customFormat="1" x14ac:dyDescent="0.35">
      <c r="A554" s="16"/>
      <c r="B554" s="16"/>
      <c r="C554" s="16"/>
      <c r="D554" s="16"/>
      <c r="E554" s="16"/>
      <c r="F554" s="16"/>
      <c r="G554" s="16"/>
      <c r="H554" s="16"/>
      <c r="I554" s="16"/>
      <c r="J554" s="16"/>
      <c r="K554" s="16"/>
      <c r="L554" s="16"/>
      <c r="M554" s="16"/>
      <c r="AH554" s="16"/>
      <c r="AI554" s="16"/>
      <c r="AJ554" s="16"/>
      <c r="AK554" s="16"/>
      <c r="AL554" s="16"/>
      <c r="AM554" s="16"/>
      <c r="AN554" s="16"/>
      <c r="AO554" s="16"/>
      <c r="AP554" s="16"/>
      <c r="AQ554" s="16"/>
      <c r="AR554" s="16"/>
      <c r="AS554" s="16"/>
    </row>
    <row r="555" spans="1:45" s="8" customFormat="1" x14ac:dyDescent="0.35">
      <c r="A555" s="16"/>
      <c r="B555" s="16"/>
      <c r="C555" s="16"/>
      <c r="D555" s="16"/>
      <c r="E555" s="16"/>
      <c r="F555" s="16"/>
      <c r="G555" s="16"/>
      <c r="H555" s="16"/>
      <c r="I555" s="16"/>
      <c r="J555" s="16"/>
      <c r="K555" s="16"/>
      <c r="L555" s="16"/>
      <c r="M555" s="16"/>
      <c r="AH555" s="16"/>
      <c r="AI555" s="16"/>
      <c r="AJ555" s="16"/>
      <c r="AK555" s="16"/>
      <c r="AL555" s="16"/>
      <c r="AM555" s="16"/>
      <c r="AN555" s="16"/>
      <c r="AO555" s="16"/>
      <c r="AP555" s="16"/>
      <c r="AQ555" s="16"/>
      <c r="AR555" s="16"/>
      <c r="AS555" s="16"/>
    </row>
    <row r="556" spans="1:45" s="8" customFormat="1" x14ac:dyDescent="0.35">
      <c r="A556" s="16"/>
      <c r="B556" s="16"/>
      <c r="C556" s="16"/>
      <c r="D556" s="16"/>
      <c r="E556" s="16"/>
      <c r="F556" s="16"/>
      <c r="G556" s="16"/>
      <c r="H556" s="16"/>
      <c r="I556" s="16"/>
      <c r="J556" s="16"/>
      <c r="K556" s="16"/>
      <c r="L556" s="16"/>
      <c r="M556" s="16"/>
      <c r="AH556" s="16"/>
      <c r="AI556" s="16"/>
      <c r="AJ556" s="16"/>
      <c r="AK556" s="16"/>
      <c r="AL556" s="16"/>
      <c r="AM556" s="16"/>
      <c r="AN556" s="16"/>
      <c r="AO556" s="16"/>
      <c r="AP556" s="16"/>
      <c r="AQ556" s="16"/>
      <c r="AR556" s="16"/>
      <c r="AS556" s="16"/>
    </row>
    <row r="557" spans="1:45" s="8" customFormat="1" x14ac:dyDescent="0.35">
      <c r="A557" s="16"/>
      <c r="B557" s="16"/>
      <c r="C557" s="16"/>
      <c r="D557" s="16"/>
      <c r="E557" s="16"/>
      <c r="F557" s="16"/>
      <c r="G557" s="16"/>
      <c r="H557" s="16"/>
      <c r="I557" s="16"/>
      <c r="J557" s="16"/>
      <c r="K557" s="16"/>
      <c r="L557" s="16"/>
      <c r="M557" s="16"/>
      <c r="AH557" s="16"/>
      <c r="AI557" s="16"/>
      <c r="AJ557" s="16"/>
      <c r="AK557" s="16"/>
      <c r="AL557" s="16"/>
      <c r="AM557" s="16"/>
      <c r="AN557" s="16"/>
      <c r="AO557" s="16"/>
      <c r="AP557" s="16"/>
      <c r="AQ557" s="16"/>
      <c r="AR557" s="16"/>
      <c r="AS557" s="16"/>
    </row>
    <row r="558" spans="1:45" s="8" customFormat="1" x14ac:dyDescent="0.35">
      <c r="A558" s="16"/>
      <c r="B558" s="16"/>
      <c r="C558" s="16"/>
      <c r="D558" s="16"/>
      <c r="E558" s="16"/>
      <c r="F558" s="16"/>
      <c r="G558" s="16"/>
      <c r="H558" s="16"/>
      <c r="I558" s="16"/>
      <c r="J558" s="16"/>
      <c r="K558" s="16"/>
      <c r="L558" s="16"/>
      <c r="M558" s="16"/>
      <c r="AH558" s="16"/>
      <c r="AI558" s="16"/>
      <c r="AJ558" s="16"/>
      <c r="AK558" s="16"/>
      <c r="AL558" s="16"/>
      <c r="AM558" s="16"/>
      <c r="AN558" s="16"/>
      <c r="AO558" s="16"/>
      <c r="AP558" s="16"/>
      <c r="AQ558" s="16"/>
      <c r="AR558" s="16"/>
      <c r="AS558" s="16"/>
    </row>
    <row r="559" spans="1:45" s="8" customFormat="1" x14ac:dyDescent="0.35">
      <c r="A559" s="16"/>
      <c r="B559" s="16"/>
      <c r="C559" s="16"/>
      <c r="D559" s="16"/>
      <c r="E559" s="16"/>
      <c r="F559" s="16"/>
      <c r="G559" s="16"/>
      <c r="H559" s="16"/>
      <c r="I559" s="16"/>
      <c r="J559" s="16"/>
      <c r="K559" s="16"/>
      <c r="L559" s="16"/>
      <c r="M559" s="16"/>
      <c r="AH559" s="16"/>
      <c r="AI559" s="16"/>
      <c r="AJ559" s="16"/>
      <c r="AK559" s="16"/>
      <c r="AL559" s="16"/>
      <c r="AM559" s="16"/>
      <c r="AN559" s="16"/>
      <c r="AO559" s="16"/>
      <c r="AP559" s="16"/>
      <c r="AQ559" s="16"/>
      <c r="AR559" s="16"/>
      <c r="AS559" s="16"/>
    </row>
    <row r="560" spans="1:45" s="8" customFormat="1" x14ac:dyDescent="0.35">
      <c r="A560" s="16"/>
      <c r="B560" s="16"/>
      <c r="C560" s="16"/>
      <c r="D560" s="16"/>
      <c r="E560" s="16"/>
      <c r="F560" s="16"/>
      <c r="G560" s="16"/>
      <c r="H560" s="16"/>
      <c r="I560" s="16"/>
      <c r="J560" s="16"/>
      <c r="K560" s="16"/>
      <c r="L560" s="16"/>
      <c r="M560" s="16"/>
      <c r="AH560" s="16"/>
      <c r="AI560" s="16"/>
      <c r="AJ560" s="16"/>
      <c r="AK560" s="16"/>
      <c r="AL560" s="16"/>
      <c r="AM560" s="16"/>
      <c r="AN560" s="16"/>
      <c r="AO560" s="16"/>
      <c r="AP560" s="16"/>
      <c r="AQ560" s="16"/>
      <c r="AR560" s="16"/>
      <c r="AS560" s="16"/>
    </row>
    <row r="561" spans="1:45" s="8" customFormat="1" x14ac:dyDescent="0.35">
      <c r="A561" s="16"/>
      <c r="B561" s="16"/>
      <c r="C561" s="16"/>
      <c r="D561" s="16"/>
      <c r="E561" s="16"/>
      <c r="F561" s="16"/>
      <c r="G561" s="16"/>
      <c r="H561" s="16"/>
      <c r="I561" s="16"/>
      <c r="J561" s="16"/>
      <c r="K561" s="16"/>
      <c r="L561" s="16"/>
      <c r="M561" s="16"/>
      <c r="AH561" s="16"/>
      <c r="AI561" s="16"/>
      <c r="AJ561" s="16"/>
      <c r="AK561" s="16"/>
      <c r="AL561" s="16"/>
      <c r="AM561" s="16"/>
      <c r="AN561" s="16"/>
      <c r="AO561" s="16"/>
      <c r="AP561" s="16"/>
      <c r="AQ561" s="16"/>
      <c r="AR561" s="16"/>
      <c r="AS561" s="16"/>
    </row>
    <row r="562" spans="1:45" s="8" customFormat="1" x14ac:dyDescent="0.35">
      <c r="A562" s="16"/>
      <c r="B562" s="16"/>
      <c r="C562" s="16"/>
      <c r="D562" s="16"/>
      <c r="E562" s="16"/>
      <c r="F562" s="16"/>
      <c r="G562" s="16"/>
      <c r="H562" s="16"/>
      <c r="I562" s="16"/>
      <c r="J562" s="16"/>
      <c r="K562" s="16"/>
      <c r="L562" s="16"/>
      <c r="M562" s="16"/>
      <c r="AH562" s="16"/>
      <c r="AI562" s="16"/>
      <c r="AJ562" s="16"/>
      <c r="AK562" s="16"/>
      <c r="AL562" s="16"/>
      <c r="AM562" s="16"/>
      <c r="AN562" s="16"/>
      <c r="AO562" s="16"/>
      <c r="AP562" s="16"/>
      <c r="AQ562" s="16"/>
      <c r="AR562" s="16"/>
      <c r="AS562" s="16"/>
    </row>
    <row r="563" spans="1:45" s="8" customFormat="1" x14ac:dyDescent="0.35">
      <c r="A563" s="16"/>
      <c r="B563" s="16"/>
      <c r="C563" s="16"/>
      <c r="D563" s="16"/>
      <c r="E563" s="16"/>
      <c r="F563" s="16"/>
      <c r="G563" s="16"/>
      <c r="H563" s="16"/>
      <c r="I563" s="16"/>
      <c r="J563" s="16"/>
      <c r="K563" s="16"/>
      <c r="L563" s="16"/>
      <c r="M563" s="16"/>
      <c r="AH563" s="16"/>
      <c r="AI563" s="16"/>
      <c r="AJ563" s="16"/>
      <c r="AK563" s="16"/>
      <c r="AL563" s="16"/>
      <c r="AM563" s="16"/>
      <c r="AN563" s="16"/>
      <c r="AO563" s="16"/>
      <c r="AP563" s="16"/>
      <c r="AQ563" s="16"/>
      <c r="AR563" s="16"/>
      <c r="AS563" s="16"/>
    </row>
    <row r="564" spans="1:45" s="8" customFormat="1" x14ac:dyDescent="0.35">
      <c r="A564" s="16"/>
      <c r="B564" s="16"/>
      <c r="C564" s="16"/>
      <c r="D564" s="16"/>
      <c r="E564" s="16"/>
      <c r="F564" s="16"/>
      <c r="G564" s="16"/>
      <c r="H564" s="16"/>
      <c r="I564" s="16"/>
      <c r="J564" s="16"/>
      <c r="K564" s="16"/>
      <c r="L564" s="16"/>
      <c r="M564" s="16"/>
      <c r="AH564" s="16"/>
      <c r="AI564" s="16"/>
      <c r="AJ564" s="16"/>
      <c r="AK564" s="16"/>
      <c r="AL564" s="16"/>
      <c r="AM564" s="16"/>
      <c r="AN564" s="16"/>
      <c r="AO564" s="16"/>
      <c r="AP564" s="16"/>
      <c r="AQ564" s="16"/>
      <c r="AR564" s="16"/>
      <c r="AS564" s="16"/>
    </row>
    <row r="565" spans="1:45" s="8" customFormat="1" x14ac:dyDescent="0.35">
      <c r="A565" s="16"/>
      <c r="B565" s="16"/>
      <c r="C565" s="16"/>
      <c r="D565" s="16"/>
      <c r="E565" s="16"/>
      <c r="F565" s="16"/>
      <c r="G565" s="16"/>
      <c r="H565" s="16"/>
      <c r="I565" s="16"/>
      <c r="J565" s="16"/>
      <c r="K565" s="16"/>
      <c r="L565" s="16"/>
      <c r="M565" s="16"/>
      <c r="AH565" s="16"/>
      <c r="AI565" s="16"/>
      <c r="AJ565" s="16"/>
      <c r="AK565" s="16"/>
      <c r="AL565" s="16"/>
      <c r="AM565" s="16"/>
      <c r="AN565" s="16"/>
      <c r="AO565" s="16"/>
      <c r="AP565" s="16"/>
      <c r="AQ565" s="16"/>
      <c r="AR565" s="16"/>
      <c r="AS565" s="16"/>
    </row>
    <row r="566" spans="1:45" s="8" customFormat="1" x14ac:dyDescent="0.35">
      <c r="A566" s="16"/>
      <c r="B566" s="16"/>
      <c r="C566" s="16"/>
      <c r="D566" s="16"/>
      <c r="E566" s="16"/>
      <c r="F566" s="16"/>
      <c r="G566" s="16"/>
      <c r="H566" s="16"/>
      <c r="I566" s="16"/>
      <c r="J566" s="16"/>
      <c r="K566" s="16"/>
      <c r="L566" s="16"/>
      <c r="M566" s="16"/>
      <c r="AH566" s="16"/>
      <c r="AI566" s="16"/>
      <c r="AJ566" s="16"/>
      <c r="AK566" s="16"/>
      <c r="AL566" s="16"/>
      <c r="AM566" s="16"/>
      <c r="AN566" s="16"/>
      <c r="AO566" s="16"/>
      <c r="AP566" s="16"/>
      <c r="AQ566" s="16"/>
      <c r="AR566" s="16"/>
      <c r="AS566" s="16"/>
    </row>
    <row r="567" spans="1:45" s="8" customFormat="1" x14ac:dyDescent="0.35">
      <c r="A567" s="16"/>
      <c r="B567" s="16"/>
      <c r="C567" s="16"/>
      <c r="D567" s="16"/>
      <c r="E567" s="16"/>
      <c r="F567" s="16"/>
      <c r="G567" s="16"/>
      <c r="H567" s="16"/>
      <c r="I567" s="16"/>
      <c r="J567" s="16"/>
      <c r="K567" s="16"/>
      <c r="L567" s="16"/>
      <c r="M567" s="16"/>
      <c r="AH567" s="16"/>
      <c r="AI567" s="16"/>
      <c r="AJ567" s="16"/>
      <c r="AK567" s="16"/>
      <c r="AL567" s="16"/>
      <c r="AM567" s="16"/>
      <c r="AN567" s="16"/>
      <c r="AO567" s="16"/>
      <c r="AP567" s="16"/>
      <c r="AQ567" s="16"/>
      <c r="AR567" s="16"/>
      <c r="AS567" s="16"/>
    </row>
    <row r="568" spans="1:45" s="8" customFormat="1" x14ac:dyDescent="0.35">
      <c r="A568" s="16"/>
      <c r="B568" s="16"/>
      <c r="C568" s="16"/>
      <c r="D568" s="16"/>
      <c r="E568" s="16"/>
      <c r="F568" s="16"/>
      <c r="G568" s="16"/>
      <c r="H568" s="16"/>
      <c r="I568" s="16"/>
      <c r="J568" s="16"/>
      <c r="K568" s="16"/>
      <c r="L568" s="16"/>
      <c r="M568" s="16"/>
      <c r="AH568" s="16"/>
      <c r="AI568" s="16"/>
      <c r="AJ568" s="16"/>
      <c r="AK568" s="16"/>
      <c r="AL568" s="16"/>
      <c r="AM568" s="16"/>
      <c r="AN568" s="16"/>
      <c r="AO568" s="16"/>
      <c r="AP568" s="16"/>
      <c r="AQ568" s="16"/>
      <c r="AR568" s="16"/>
      <c r="AS568" s="16"/>
    </row>
    <row r="569" spans="1:45" s="8" customFormat="1" x14ac:dyDescent="0.35">
      <c r="A569" s="16"/>
      <c r="B569" s="16"/>
      <c r="C569" s="16"/>
      <c r="D569" s="16"/>
      <c r="E569" s="16"/>
      <c r="F569" s="16"/>
      <c r="G569" s="16"/>
      <c r="H569" s="16"/>
      <c r="I569" s="16"/>
      <c r="J569" s="16"/>
      <c r="K569" s="16"/>
      <c r="L569" s="16"/>
      <c r="M569" s="16"/>
      <c r="AH569" s="16"/>
      <c r="AI569" s="16"/>
      <c r="AJ569" s="16"/>
      <c r="AK569" s="16"/>
      <c r="AL569" s="16"/>
      <c r="AM569" s="16"/>
      <c r="AN569" s="16"/>
      <c r="AO569" s="16"/>
      <c r="AP569" s="16"/>
      <c r="AQ569" s="16"/>
      <c r="AR569" s="16"/>
      <c r="AS569" s="16"/>
    </row>
    <row r="570" spans="1:45" s="8" customFormat="1" x14ac:dyDescent="0.35">
      <c r="A570" s="16"/>
      <c r="B570" s="16"/>
      <c r="C570" s="16"/>
      <c r="D570" s="16"/>
      <c r="E570" s="16"/>
      <c r="F570" s="16"/>
      <c r="G570" s="16"/>
      <c r="H570" s="16"/>
      <c r="I570" s="16"/>
      <c r="J570" s="16"/>
      <c r="K570" s="16"/>
      <c r="L570" s="16"/>
      <c r="M570" s="16"/>
      <c r="AH570" s="16"/>
      <c r="AI570" s="16"/>
      <c r="AJ570" s="16"/>
      <c r="AK570" s="16"/>
      <c r="AL570" s="16"/>
      <c r="AM570" s="16"/>
      <c r="AN570" s="16"/>
      <c r="AO570" s="16"/>
      <c r="AP570" s="16"/>
      <c r="AQ570" s="16"/>
      <c r="AR570" s="16"/>
      <c r="AS570" s="16"/>
    </row>
    <row r="571" spans="1:45" s="8" customFormat="1" x14ac:dyDescent="0.35">
      <c r="A571" s="16"/>
      <c r="B571" s="16"/>
      <c r="C571" s="16"/>
      <c r="D571" s="16"/>
      <c r="E571" s="16"/>
      <c r="F571" s="16"/>
      <c r="G571" s="16"/>
      <c r="H571" s="16"/>
      <c r="I571" s="16"/>
      <c r="J571" s="16"/>
      <c r="K571" s="16"/>
      <c r="L571" s="16"/>
      <c r="M571" s="16"/>
      <c r="AH571" s="16"/>
      <c r="AI571" s="16"/>
      <c r="AJ571" s="16"/>
      <c r="AK571" s="16"/>
      <c r="AL571" s="16"/>
      <c r="AM571" s="16"/>
      <c r="AN571" s="16"/>
      <c r="AO571" s="16"/>
      <c r="AP571" s="16"/>
      <c r="AQ571" s="16"/>
      <c r="AR571" s="16"/>
      <c r="AS571" s="16"/>
    </row>
    <row r="572" spans="1:45" s="8" customFormat="1" x14ac:dyDescent="0.35">
      <c r="A572" s="16"/>
      <c r="B572" s="16"/>
      <c r="C572" s="16"/>
      <c r="D572" s="16"/>
      <c r="E572" s="16"/>
      <c r="F572" s="16"/>
      <c r="G572" s="16"/>
      <c r="H572" s="16"/>
      <c r="I572" s="16"/>
      <c r="J572" s="16"/>
      <c r="K572" s="16"/>
      <c r="L572" s="16"/>
      <c r="M572" s="16"/>
      <c r="AH572" s="16"/>
      <c r="AI572" s="16"/>
      <c r="AJ572" s="16"/>
      <c r="AK572" s="16"/>
      <c r="AL572" s="16"/>
      <c r="AM572" s="16"/>
      <c r="AN572" s="16"/>
      <c r="AO572" s="16"/>
      <c r="AP572" s="16"/>
      <c r="AQ572" s="16"/>
      <c r="AR572" s="16"/>
      <c r="AS572" s="16"/>
    </row>
    <row r="573" spans="1:45" s="8" customFormat="1" x14ac:dyDescent="0.35">
      <c r="A573" s="16"/>
      <c r="B573" s="16"/>
      <c r="C573" s="16"/>
      <c r="D573" s="16"/>
      <c r="E573" s="16"/>
      <c r="F573" s="16"/>
      <c r="G573" s="16"/>
      <c r="H573" s="16"/>
      <c r="I573" s="16"/>
      <c r="J573" s="16"/>
      <c r="K573" s="16"/>
      <c r="L573" s="16"/>
      <c r="M573" s="16"/>
      <c r="AH573" s="16"/>
      <c r="AI573" s="16"/>
      <c r="AJ573" s="16"/>
      <c r="AK573" s="16"/>
      <c r="AL573" s="16"/>
      <c r="AM573" s="16"/>
      <c r="AN573" s="16"/>
      <c r="AO573" s="16"/>
      <c r="AP573" s="16"/>
      <c r="AQ573" s="16"/>
      <c r="AR573" s="16"/>
      <c r="AS573" s="16"/>
    </row>
    <row r="574" spans="1:45" s="8" customFormat="1" x14ac:dyDescent="0.35">
      <c r="A574" s="16"/>
      <c r="B574" s="16"/>
      <c r="C574" s="16"/>
      <c r="D574" s="16"/>
      <c r="E574" s="16"/>
      <c r="F574" s="16"/>
      <c r="G574" s="16"/>
      <c r="H574" s="16"/>
      <c r="I574" s="16"/>
      <c r="J574" s="16"/>
      <c r="K574" s="16"/>
      <c r="L574" s="16"/>
      <c r="M574" s="16"/>
      <c r="AH574" s="16"/>
      <c r="AI574" s="16"/>
      <c r="AJ574" s="16"/>
      <c r="AK574" s="16"/>
      <c r="AL574" s="16"/>
      <c r="AM574" s="16"/>
      <c r="AN574" s="16"/>
      <c r="AO574" s="16"/>
      <c r="AP574" s="16"/>
      <c r="AQ574" s="16"/>
      <c r="AR574" s="16"/>
      <c r="AS574" s="16"/>
    </row>
    <row r="575" spans="1:45" s="8" customFormat="1" x14ac:dyDescent="0.35">
      <c r="A575" s="16"/>
      <c r="B575" s="16"/>
      <c r="C575" s="16"/>
      <c r="D575" s="16"/>
      <c r="E575" s="16"/>
      <c r="F575" s="16"/>
      <c r="G575" s="16"/>
      <c r="H575" s="16"/>
      <c r="I575" s="16"/>
      <c r="J575" s="16"/>
      <c r="K575" s="16"/>
      <c r="L575" s="16"/>
      <c r="M575" s="16"/>
      <c r="AH575" s="16"/>
      <c r="AI575" s="16"/>
      <c r="AJ575" s="16"/>
      <c r="AK575" s="16"/>
      <c r="AL575" s="16"/>
      <c r="AM575" s="16"/>
      <c r="AN575" s="16"/>
      <c r="AO575" s="16"/>
      <c r="AP575" s="16"/>
      <c r="AQ575" s="16"/>
      <c r="AR575" s="16"/>
      <c r="AS575" s="16"/>
    </row>
    <row r="576" spans="1:45" s="8" customFormat="1" x14ac:dyDescent="0.35">
      <c r="A576" s="16"/>
      <c r="B576" s="16"/>
      <c r="C576" s="16"/>
      <c r="D576" s="16"/>
      <c r="E576" s="16"/>
      <c r="F576" s="16"/>
      <c r="G576" s="16"/>
      <c r="H576" s="16"/>
      <c r="I576" s="16"/>
      <c r="J576" s="16"/>
      <c r="K576" s="16"/>
      <c r="L576" s="16"/>
      <c r="M576" s="16"/>
      <c r="AH576" s="16"/>
      <c r="AI576" s="16"/>
      <c r="AJ576" s="16"/>
      <c r="AK576" s="16"/>
      <c r="AL576" s="16"/>
      <c r="AM576" s="16"/>
      <c r="AN576" s="16"/>
      <c r="AO576" s="16"/>
      <c r="AP576" s="16"/>
      <c r="AQ576" s="16"/>
      <c r="AR576" s="16"/>
      <c r="AS576" s="16"/>
    </row>
    <row r="577" spans="1:45" s="8" customFormat="1" x14ac:dyDescent="0.35">
      <c r="A577" s="16"/>
      <c r="B577" s="16"/>
      <c r="C577" s="16"/>
      <c r="D577" s="16"/>
      <c r="E577" s="16"/>
      <c r="F577" s="16"/>
      <c r="G577" s="16"/>
      <c r="H577" s="16"/>
      <c r="I577" s="16"/>
      <c r="J577" s="16"/>
      <c r="K577" s="16"/>
      <c r="L577" s="16"/>
      <c r="M577" s="16"/>
      <c r="AH577" s="16"/>
      <c r="AI577" s="16"/>
      <c r="AJ577" s="16"/>
      <c r="AK577" s="16"/>
      <c r="AL577" s="16"/>
      <c r="AM577" s="16"/>
      <c r="AN577" s="16"/>
      <c r="AO577" s="16"/>
      <c r="AP577" s="16"/>
      <c r="AQ577" s="16"/>
      <c r="AR577" s="16"/>
      <c r="AS577" s="16"/>
    </row>
    <row r="578" spans="1:45" s="8" customFormat="1" x14ac:dyDescent="0.35">
      <c r="A578" s="16"/>
      <c r="B578" s="16"/>
      <c r="C578" s="16"/>
      <c r="D578" s="16"/>
      <c r="E578" s="16"/>
      <c r="F578" s="16"/>
      <c r="G578" s="16"/>
      <c r="H578" s="16"/>
      <c r="I578" s="16"/>
      <c r="J578" s="16"/>
      <c r="K578" s="16"/>
      <c r="L578" s="16"/>
      <c r="M578" s="16"/>
      <c r="AH578" s="16"/>
      <c r="AI578" s="16"/>
      <c r="AJ578" s="16"/>
      <c r="AK578" s="16"/>
      <c r="AL578" s="16"/>
      <c r="AM578" s="16"/>
      <c r="AN578" s="16"/>
      <c r="AO578" s="16"/>
      <c r="AP578" s="16"/>
      <c r="AQ578" s="16"/>
      <c r="AR578" s="16"/>
      <c r="AS578" s="16"/>
    </row>
    <row r="579" spans="1:45" s="8" customFormat="1" x14ac:dyDescent="0.35">
      <c r="A579" s="16"/>
      <c r="B579" s="16"/>
      <c r="C579" s="16"/>
      <c r="D579" s="16"/>
      <c r="E579" s="16"/>
      <c r="F579" s="16"/>
      <c r="G579" s="16"/>
      <c r="H579" s="16"/>
      <c r="I579" s="16"/>
      <c r="J579" s="16"/>
      <c r="K579" s="16"/>
      <c r="L579" s="16"/>
      <c r="M579" s="16"/>
      <c r="AH579" s="16"/>
      <c r="AI579" s="16"/>
      <c r="AJ579" s="16"/>
      <c r="AK579" s="16"/>
      <c r="AL579" s="16"/>
      <c r="AM579" s="16"/>
      <c r="AN579" s="16"/>
      <c r="AO579" s="16"/>
      <c r="AP579" s="16"/>
      <c r="AQ579" s="16"/>
      <c r="AR579" s="16"/>
      <c r="AS579" s="16"/>
    </row>
    <row r="580" spans="1:45" s="8" customFormat="1" x14ac:dyDescent="0.35">
      <c r="A580" s="16"/>
      <c r="B580" s="16"/>
      <c r="C580" s="16"/>
      <c r="D580" s="16"/>
      <c r="E580" s="16"/>
      <c r="F580" s="16"/>
      <c r="G580" s="16"/>
      <c r="H580" s="16"/>
      <c r="I580" s="16"/>
      <c r="J580" s="16"/>
      <c r="K580" s="16"/>
      <c r="L580" s="16"/>
      <c r="M580" s="16"/>
      <c r="AH580" s="16"/>
      <c r="AI580" s="16"/>
      <c r="AJ580" s="16"/>
      <c r="AK580" s="16"/>
      <c r="AL580" s="16"/>
      <c r="AM580" s="16"/>
      <c r="AN580" s="16"/>
      <c r="AO580" s="16"/>
      <c r="AP580" s="16"/>
      <c r="AQ580" s="16"/>
      <c r="AR580" s="16"/>
      <c r="AS580" s="16"/>
    </row>
    <row r="581" spans="1:45" s="8" customFormat="1" x14ac:dyDescent="0.35">
      <c r="A581" s="16"/>
      <c r="B581" s="16"/>
      <c r="C581" s="16"/>
      <c r="D581" s="16"/>
      <c r="E581" s="16"/>
      <c r="F581" s="16"/>
      <c r="G581" s="16"/>
      <c r="H581" s="16"/>
      <c r="I581" s="16"/>
      <c r="J581" s="16"/>
      <c r="K581" s="16"/>
      <c r="L581" s="16"/>
      <c r="M581" s="16"/>
      <c r="AH581" s="16"/>
      <c r="AI581" s="16"/>
      <c r="AJ581" s="16"/>
      <c r="AK581" s="16"/>
      <c r="AL581" s="16"/>
      <c r="AM581" s="16"/>
      <c r="AN581" s="16"/>
      <c r="AO581" s="16"/>
      <c r="AP581" s="16"/>
      <c r="AQ581" s="16"/>
      <c r="AR581" s="16"/>
      <c r="AS581" s="16"/>
    </row>
    <row r="582" spans="1:45" s="8" customFormat="1" x14ac:dyDescent="0.35">
      <c r="A582" s="16"/>
      <c r="B582" s="16"/>
      <c r="C582" s="16"/>
      <c r="D582" s="16"/>
      <c r="E582" s="16"/>
      <c r="F582" s="16"/>
      <c r="G582" s="16"/>
      <c r="H582" s="16"/>
      <c r="I582" s="16"/>
      <c r="J582" s="16"/>
      <c r="K582" s="16"/>
      <c r="L582" s="16"/>
      <c r="M582" s="16"/>
      <c r="AH582" s="16"/>
      <c r="AI582" s="16"/>
      <c r="AJ582" s="16"/>
      <c r="AK582" s="16"/>
      <c r="AL582" s="16"/>
      <c r="AM582" s="16"/>
      <c r="AN582" s="16"/>
      <c r="AO582" s="16"/>
      <c r="AP582" s="16"/>
      <c r="AQ582" s="16"/>
      <c r="AR582" s="16"/>
      <c r="AS582" s="16"/>
    </row>
    <row r="583" spans="1:45" s="8" customFormat="1" x14ac:dyDescent="0.35">
      <c r="A583" s="16"/>
      <c r="B583" s="16"/>
      <c r="C583" s="16"/>
      <c r="D583" s="16"/>
      <c r="E583" s="16"/>
      <c r="F583" s="16"/>
      <c r="G583" s="16"/>
      <c r="H583" s="16"/>
      <c r="I583" s="16"/>
      <c r="J583" s="16"/>
      <c r="K583" s="16"/>
      <c r="L583" s="16"/>
      <c r="M583" s="16"/>
      <c r="AH583" s="16"/>
      <c r="AI583" s="16"/>
      <c r="AJ583" s="16"/>
      <c r="AK583" s="16"/>
      <c r="AL583" s="16"/>
      <c r="AM583" s="16"/>
      <c r="AN583" s="16"/>
      <c r="AO583" s="16"/>
      <c r="AP583" s="16"/>
      <c r="AQ583" s="16"/>
      <c r="AR583" s="16"/>
      <c r="AS583" s="16"/>
    </row>
    <row r="584" spans="1:45" s="8" customFormat="1" x14ac:dyDescent="0.35">
      <c r="A584" s="16"/>
      <c r="B584" s="16"/>
      <c r="C584" s="16"/>
      <c r="D584" s="16"/>
      <c r="E584" s="16"/>
      <c r="F584" s="16"/>
      <c r="G584" s="16"/>
      <c r="H584" s="16"/>
      <c r="I584" s="16"/>
      <c r="J584" s="16"/>
      <c r="K584" s="16"/>
      <c r="L584" s="16"/>
      <c r="M584" s="16"/>
      <c r="AH584" s="16"/>
      <c r="AI584" s="16"/>
      <c r="AJ584" s="16"/>
      <c r="AK584" s="16"/>
      <c r="AL584" s="16"/>
      <c r="AM584" s="16"/>
      <c r="AN584" s="16"/>
      <c r="AO584" s="16"/>
      <c r="AP584" s="16"/>
      <c r="AQ584" s="16"/>
      <c r="AR584" s="16"/>
      <c r="AS584" s="16"/>
    </row>
    <row r="585" spans="1:45" s="8" customFormat="1" x14ac:dyDescent="0.35">
      <c r="A585" s="16"/>
      <c r="B585" s="16"/>
      <c r="C585" s="16"/>
      <c r="D585" s="16"/>
      <c r="E585" s="16"/>
      <c r="F585" s="16"/>
      <c r="G585" s="16"/>
      <c r="H585" s="16"/>
      <c r="I585" s="16"/>
      <c r="J585" s="16"/>
      <c r="K585" s="16"/>
      <c r="L585" s="16"/>
      <c r="M585" s="16"/>
      <c r="AH585" s="16"/>
      <c r="AI585" s="16"/>
      <c r="AJ585" s="16"/>
      <c r="AK585" s="16"/>
      <c r="AL585" s="16"/>
      <c r="AM585" s="16"/>
      <c r="AN585" s="16"/>
      <c r="AO585" s="16"/>
      <c r="AP585" s="16"/>
      <c r="AQ585" s="16"/>
      <c r="AR585" s="16"/>
      <c r="AS585" s="16"/>
    </row>
    <row r="586" spans="1:45" s="8" customFormat="1" x14ac:dyDescent="0.35">
      <c r="A586" s="16"/>
      <c r="B586" s="16"/>
      <c r="C586" s="16"/>
      <c r="D586" s="16"/>
      <c r="E586" s="16"/>
      <c r="F586" s="16"/>
      <c r="G586" s="16"/>
      <c r="H586" s="16"/>
      <c r="I586" s="16"/>
      <c r="J586" s="16"/>
      <c r="K586" s="16"/>
      <c r="L586" s="16"/>
      <c r="M586" s="16"/>
      <c r="AH586" s="16"/>
      <c r="AI586" s="16"/>
      <c r="AJ586" s="16"/>
      <c r="AK586" s="16"/>
      <c r="AL586" s="16"/>
      <c r="AM586" s="16"/>
      <c r="AN586" s="16"/>
      <c r="AO586" s="16"/>
      <c r="AP586" s="16"/>
      <c r="AQ586" s="16"/>
      <c r="AR586" s="16"/>
      <c r="AS586" s="16"/>
    </row>
    <row r="587" spans="1:45" s="8" customFormat="1" x14ac:dyDescent="0.35">
      <c r="A587" s="16"/>
      <c r="B587" s="16"/>
      <c r="C587" s="16"/>
      <c r="D587" s="16"/>
      <c r="E587" s="16"/>
      <c r="F587" s="16"/>
      <c r="G587" s="16"/>
      <c r="H587" s="16"/>
      <c r="I587" s="16"/>
      <c r="J587" s="16"/>
      <c r="K587" s="16"/>
      <c r="L587" s="16"/>
      <c r="M587" s="16"/>
      <c r="AH587" s="16"/>
      <c r="AI587" s="16"/>
      <c r="AJ587" s="16"/>
      <c r="AK587" s="16"/>
      <c r="AL587" s="16"/>
      <c r="AM587" s="16"/>
      <c r="AN587" s="16"/>
      <c r="AO587" s="16"/>
      <c r="AP587" s="16"/>
      <c r="AQ587" s="16"/>
      <c r="AR587" s="16"/>
      <c r="AS587" s="16"/>
    </row>
    <row r="588" spans="1:45" s="8" customFormat="1" x14ac:dyDescent="0.35">
      <c r="A588" s="16"/>
      <c r="B588" s="16"/>
      <c r="C588" s="16"/>
      <c r="D588" s="16"/>
      <c r="E588" s="16"/>
      <c r="F588" s="16"/>
      <c r="G588" s="16"/>
      <c r="H588" s="16"/>
      <c r="I588" s="16"/>
      <c r="J588" s="16"/>
      <c r="K588" s="16"/>
      <c r="L588" s="16"/>
      <c r="M588" s="16"/>
      <c r="AH588" s="16"/>
      <c r="AI588" s="16"/>
      <c r="AJ588" s="16"/>
      <c r="AK588" s="16"/>
      <c r="AL588" s="16"/>
      <c r="AM588" s="16"/>
      <c r="AN588" s="16"/>
      <c r="AO588" s="16"/>
      <c r="AP588" s="16"/>
      <c r="AQ588" s="16"/>
      <c r="AR588" s="16"/>
      <c r="AS588" s="16"/>
    </row>
    <row r="589" spans="1:45" s="8" customFormat="1" x14ac:dyDescent="0.35">
      <c r="A589" s="16"/>
      <c r="B589" s="16"/>
      <c r="C589" s="16"/>
      <c r="D589" s="16"/>
      <c r="E589" s="16"/>
      <c r="F589" s="16"/>
      <c r="G589" s="16"/>
      <c r="H589" s="16"/>
      <c r="I589" s="16"/>
      <c r="J589" s="16"/>
      <c r="K589" s="16"/>
      <c r="L589" s="16"/>
      <c r="M589" s="16"/>
      <c r="AH589" s="16"/>
      <c r="AI589" s="16"/>
      <c r="AJ589" s="16"/>
      <c r="AK589" s="16"/>
      <c r="AL589" s="16"/>
      <c r="AM589" s="16"/>
      <c r="AN589" s="16"/>
      <c r="AO589" s="16"/>
      <c r="AP589" s="16"/>
      <c r="AQ589" s="16"/>
      <c r="AR589" s="16"/>
      <c r="AS589" s="16"/>
    </row>
    <row r="590" spans="1:45" s="8" customFormat="1" x14ac:dyDescent="0.35">
      <c r="A590" s="16"/>
      <c r="B590" s="16"/>
      <c r="C590" s="16"/>
      <c r="D590" s="16"/>
      <c r="E590" s="16"/>
      <c r="F590" s="16"/>
      <c r="G590" s="16"/>
      <c r="H590" s="16"/>
      <c r="I590" s="16"/>
      <c r="J590" s="16"/>
      <c r="K590" s="16"/>
      <c r="L590" s="16"/>
      <c r="M590" s="16"/>
      <c r="AH590" s="16"/>
      <c r="AI590" s="16"/>
      <c r="AJ590" s="16"/>
      <c r="AK590" s="16"/>
      <c r="AL590" s="16"/>
      <c r="AM590" s="16"/>
      <c r="AN590" s="16"/>
      <c r="AO590" s="16"/>
      <c r="AP590" s="16"/>
      <c r="AQ590" s="16"/>
      <c r="AR590" s="16"/>
      <c r="AS590" s="16"/>
    </row>
    <row r="591" spans="1:45" s="8" customFormat="1" x14ac:dyDescent="0.35">
      <c r="A591" s="16"/>
      <c r="B591" s="16"/>
      <c r="C591" s="16"/>
      <c r="D591" s="16"/>
      <c r="E591" s="16"/>
      <c r="F591" s="16"/>
      <c r="G591" s="16"/>
      <c r="H591" s="16"/>
      <c r="I591" s="16"/>
      <c r="J591" s="16"/>
      <c r="K591" s="16"/>
      <c r="L591" s="16"/>
      <c r="M591" s="16"/>
      <c r="AH591" s="16"/>
      <c r="AI591" s="16"/>
      <c r="AJ591" s="16"/>
      <c r="AK591" s="16"/>
      <c r="AL591" s="16"/>
      <c r="AM591" s="16"/>
      <c r="AN591" s="16"/>
      <c r="AO591" s="16"/>
      <c r="AP591" s="16"/>
      <c r="AQ591" s="16"/>
      <c r="AR591" s="16"/>
      <c r="AS591" s="16"/>
    </row>
    <row r="592" spans="1:45" s="8" customFormat="1" x14ac:dyDescent="0.35">
      <c r="A592" s="16"/>
      <c r="B592" s="16"/>
      <c r="C592" s="16"/>
      <c r="D592" s="16"/>
      <c r="E592" s="16"/>
      <c r="F592" s="16"/>
      <c r="G592" s="16"/>
      <c r="H592" s="16"/>
      <c r="I592" s="16"/>
      <c r="J592" s="16"/>
      <c r="K592" s="16"/>
      <c r="L592" s="16"/>
      <c r="M592" s="16"/>
      <c r="AH592" s="16"/>
      <c r="AI592" s="16"/>
      <c r="AJ592" s="16"/>
      <c r="AK592" s="16"/>
      <c r="AL592" s="16"/>
      <c r="AM592" s="16"/>
      <c r="AN592" s="16"/>
      <c r="AO592" s="16"/>
      <c r="AP592" s="16"/>
      <c r="AQ592" s="16"/>
      <c r="AR592" s="16"/>
      <c r="AS592" s="16"/>
    </row>
    <row r="593" spans="1:45" s="8" customFormat="1" x14ac:dyDescent="0.35">
      <c r="A593" s="16"/>
      <c r="B593" s="16"/>
      <c r="C593" s="16"/>
      <c r="D593" s="16"/>
      <c r="E593" s="16"/>
      <c r="F593" s="16"/>
      <c r="G593" s="16"/>
      <c r="H593" s="16"/>
      <c r="I593" s="16"/>
      <c r="J593" s="16"/>
      <c r="K593" s="16"/>
      <c r="L593" s="16"/>
      <c r="M593" s="16"/>
      <c r="AH593" s="16"/>
      <c r="AI593" s="16"/>
      <c r="AJ593" s="16"/>
      <c r="AK593" s="16"/>
      <c r="AL593" s="16"/>
      <c r="AM593" s="16"/>
      <c r="AN593" s="16"/>
      <c r="AO593" s="16"/>
      <c r="AP593" s="16"/>
      <c r="AQ593" s="16"/>
      <c r="AR593" s="16"/>
      <c r="AS593" s="16"/>
    </row>
    <row r="594" spans="1:45" s="8" customFormat="1" x14ac:dyDescent="0.35">
      <c r="A594" s="16"/>
      <c r="B594" s="16"/>
      <c r="C594" s="16"/>
      <c r="D594" s="16"/>
      <c r="E594" s="16"/>
      <c r="F594" s="16"/>
      <c r="G594" s="16"/>
      <c r="H594" s="16"/>
      <c r="I594" s="16"/>
      <c r="J594" s="16"/>
      <c r="K594" s="16"/>
      <c r="L594" s="16"/>
      <c r="M594" s="16"/>
      <c r="AH594" s="16"/>
      <c r="AI594" s="16"/>
      <c r="AJ594" s="16"/>
      <c r="AK594" s="16"/>
      <c r="AL594" s="16"/>
      <c r="AM594" s="16"/>
      <c r="AN594" s="16"/>
      <c r="AO594" s="16"/>
      <c r="AP594" s="16"/>
      <c r="AQ594" s="16"/>
      <c r="AR594" s="16"/>
      <c r="AS594" s="16"/>
    </row>
    <row r="595" spans="1:45" s="8" customFormat="1" x14ac:dyDescent="0.35">
      <c r="A595" s="16"/>
      <c r="B595" s="16"/>
      <c r="C595" s="16"/>
      <c r="D595" s="16"/>
      <c r="E595" s="16"/>
      <c r="F595" s="16"/>
      <c r="G595" s="16"/>
      <c r="H595" s="16"/>
      <c r="I595" s="16"/>
      <c r="J595" s="16"/>
      <c r="K595" s="16"/>
      <c r="L595" s="16"/>
      <c r="M595" s="16"/>
      <c r="AH595" s="16"/>
      <c r="AI595" s="16"/>
      <c r="AJ595" s="16"/>
      <c r="AK595" s="16"/>
      <c r="AL595" s="16"/>
      <c r="AM595" s="16"/>
      <c r="AN595" s="16"/>
      <c r="AO595" s="16"/>
      <c r="AP595" s="16"/>
      <c r="AQ595" s="16"/>
      <c r="AR595" s="16"/>
      <c r="AS595" s="16"/>
    </row>
    <row r="596" spans="1:45" s="8" customFormat="1" x14ac:dyDescent="0.35">
      <c r="A596" s="16"/>
      <c r="B596" s="16"/>
      <c r="C596" s="16"/>
      <c r="D596" s="16"/>
      <c r="E596" s="16"/>
      <c r="F596" s="16"/>
      <c r="G596" s="16"/>
      <c r="H596" s="16"/>
      <c r="I596" s="16"/>
      <c r="J596" s="16"/>
      <c r="K596" s="16"/>
      <c r="L596" s="16"/>
      <c r="M596" s="16"/>
      <c r="AH596" s="16"/>
      <c r="AI596" s="16"/>
      <c r="AJ596" s="16"/>
      <c r="AK596" s="16"/>
      <c r="AL596" s="16"/>
      <c r="AM596" s="16"/>
      <c r="AN596" s="16"/>
      <c r="AO596" s="16"/>
      <c r="AP596" s="16"/>
      <c r="AQ596" s="16"/>
      <c r="AR596" s="16"/>
      <c r="AS596" s="16"/>
    </row>
    <row r="597" spans="1:45" s="8" customFormat="1" x14ac:dyDescent="0.35">
      <c r="A597" s="16"/>
      <c r="B597" s="16"/>
      <c r="C597" s="16"/>
      <c r="D597" s="16"/>
      <c r="E597" s="16"/>
      <c r="F597" s="16"/>
      <c r="G597" s="16"/>
      <c r="H597" s="16"/>
      <c r="I597" s="16"/>
      <c r="J597" s="16"/>
      <c r="K597" s="16"/>
      <c r="L597" s="16"/>
      <c r="M597" s="16"/>
      <c r="AH597" s="16"/>
      <c r="AI597" s="16"/>
      <c r="AJ597" s="16"/>
      <c r="AK597" s="16"/>
      <c r="AL597" s="16"/>
      <c r="AM597" s="16"/>
      <c r="AN597" s="16"/>
      <c r="AO597" s="16"/>
      <c r="AP597" s="16"/>
      <c r="AQ597" s="16"/>
      <c r="AR597" s="16"/>
      <c r="AS597" s="16"/>
    </row>
    <row r="598" spans="1:45" s="8" customFormat="1" x14ac:dyDescent="0.35">
      <c r="A598" s="16"/>
      <c r="B598" s="16"/>
      <c r="C598" s="16"/>
      <c r="D598" s="16"/>
      <c r="E598" s="16"/>
      <c r="F598" s="16"/>
      <c r="G598" s="16"/>
      <c r="H598" s="16"/>
      <c r="I598" s="16"/>
      <c r="J598" s="16"/>
      <c r="K598" s="16"/>
      <c r="L598" s="16"/>
      <c r="M598" s="16"/>
      <c r="AH598" s="16"/>
      <c r="AI598" s="16"/>
      <c r="AJ598" s="16"/>
      <c r="AK598" s="16"/>
      <c r="AL598" s="16"/>
      <c r="AM598" s="16"/>
      <c r="AN598" s="16"/>
      <c r="AO598" s="16"/>
      <c r="AP598" s="16"/>
      <c r="AQ598" s="16"/>
      <c r="AR598" s="16"/>
      <c r="AS598" s="16"/>
    </row>
    <row r="599" spans="1:45" s="8" customFormat="1" x14ac:dyDescent="0.35">
      <c r="A599" s="16"/>
      <c r="B599" s="16"/>
      <c r="C599" s="16"/>
      <c r="D599" s="16"/>
      <c r="E599" s="16"/>
      <c r="F599" s="16"/>
      <c r="G599" s="16"/>
      <c r="H599" s="16"/>
      <c r="I599" s="16"/>
      <c r="J599" s="16"/>
      <c r="K599" s="16"/>
      <c r="L599" s="16"/>
      <c r="M599" s="16"/>
      <c r="AH599" s="16"/>
      <c r="AI599" s="16"/>
      <c r="AJ599" s="16"/>
      <c r="AK599" s="16"/>
      <c r="AL599" s="16"/>
      <c r="AM599" s="16"/>
      <c r="AN599" s="16"/>
      <c r="AO599" s="16"/>
      <c r="AP599" s="16"/>
      <c r="AQ599" s="16"/>
      <c r="AR599" s="16"/>
      <c r="AS599" s="16"/>
    </row>
    <row r="600" spans="1:45" s="8" customFormat="1" x14ac:dyDescent="0.35">
      <c r="A600" s="16"/>
      <c r="B600" s="16"/>
      <c r="C600" s="16"/>
      <c r="D600" s="16"/>
      <c r="E600" s="16"/>
      <c r="F600" s="16"/>
      <c r="G600" s="16"/>
      <c r="H600" s="16"/>
      <c r="I600" s="16"/>
      <c r="J600" s="16"/>
      <c r="K600" s="16"/>
      <c r="L600" s="16"/>
      <c r="M600" s="16"/>
      <c r="AH600" s="16"/>
      <c r="AI600" s="16"/>
      <c r="AJ600" s="16"/>
      <c r="AK600" s="16"/>
      <c r="AL600" s="16"/>
      <c r="AM600" s="16"/>
      <c r="AN600" s="16"/>
      <c r="AO600" s="16"/>
      <c r="AP600" s="16"/>
      <c r="AQ600" s="16"/>
      <c r="AR600" s="16"/>
      <c r="AS600" s="16"/>
    </row>
    <row r="601" spans="1:45" s="8" customFormat="1" x14ac:dyDescent="0.35">
      <c r="A601" s="16"/>
      <c r="B601" s="16"/>
      <c r="C601" s="16"/>
      <c r="D601" s="16"/>
      <c r="E601" s="16"/>
      <c r="F601" s="16"/>
      <c r="G601" s="16"/>
      <c r="H601" s="16"/>
      <c r="I601" s="16"/>
      <c r="J601" s="16"/>
      <c r="K601" s="16"/>
      <c r="L601" s="16"/>
      <c r="M601" s="16"/>
      <c r="AH601" s="16"/>
      <c r="AI601" s="16"/>
      <c r="AJ601" s="16"/>
      <c r="AK601" s="16"/>
      <c r="AL601" s="16"/>
      <c r="AM601" s="16"/>
      <c r="AN601" s="16"/>
      <c r="AO601" s="16"/>
      <c r="AP601" s="16"/>
      <c r="AQ601" s="16"/>
      <c r="AR601" s="16"/>
      <c r="AS601" s="16"/>
    </row>
    <row r="602" spans="1:45" s="8" customFormat="1" x14ac:dyDescent="0.35">
      <c r="A602" s="16"/>
      <c r="B602" s="16"/>
      <c r="C602" s="16"/>
      <c r="D602" s="16"/>
      <c r="E602" s="16"/>
      <c r="F602" s="16"/>
      <c r="G602" s="16"/>
      <c r="H602" s="16"/>
      <c r="I602" s="16"/>
      <c r="J602" s="16"/>
      <c r="K602" s="16"/>
      <c r="L602" s="16"/>
      <c r="M602" s="16"/>
      <c r="AH602" s="16"/>
      <c r="AI602" s="16"/>
      <c r="AJ602" s="16"/>
      <c r="AK602" s="16"/>
      <c r="AL602" s="16"/>
      <c r="AM602" s="16"/>
      <c r="AN602" s="16"/>
      <c r="AO602" s="16"/>
      <c r="AP602" s="16"/>
      <c r="AQ602" s="16"/>
      <c r="AR602" s="16"/>
      <c r="AS602" s="16"/>
    </row>
    <row r="603" spans="1:45" s="8" customFormat="1" x14ac:dyDescent="0.35">
      <c r="A603" s="16"/>
      <c r="B603" s="16"/>
      <c r="C603" s="16"/>
      <c r="D603" s="16"/>
      <c r="E603" s="16"/>
      <c r="F603" s="16"/>
      <c r="G603" s="16"/>
      <c r="H603" s="16"/>
      <c r="I603" s="16"/>
      <c r="J603" s="16"/>
      <c r="K603" s="16"/>
      <c r="L603" s="16"/>
      <c r="M603" s="16"/>
      <c r="AH603" s="16"/>
      <c r="AI603" s="16"/>
      <c r="AJ603" s="16"/>
      <c r="AK603" s="16"/>
      <c r="AL603" s="16"/>
      <c r="AM603" s="16"/>
      <c r="AN603" s="16"/>
      <c r="AO603" s="16"/>
      <c r="AP603" s="16"/>
      <c r="AQ603" s="16"/>
      <c r="AR603" s="16"/>
      <c r="AS603" s="16"/>
    </row>
    <row r="604" spans="1:45" s="8" customFormat="1" x14ac:dyDescent="0.35">
      <c r="A604" s="16"/>
      <c r="B604" s="16"/>
      <c r="C604" s="16"/>
      <c r="D604" s="16"/>
      <c r="E604" s="16"/>
      <c r="F604" s="16"/>
      <c r="G604" s="16"/>
      <c r="H604" s="16"/>
      <c r="I604" s="16"/>
      <c r="J604" s="16"/>
      <c r="K604" s="16"/>
      <c r="L604" s="16"/>
      <c r="M604" s="16"/>
      <c r="AH604" s="16"/>
      <c r="AI604" s="16"/>
      <c r="AJ604" s="16"/>
      <c r="AK604" s="16"/>
      <c r="AL604" s="16"/>
      <c r="AM604" s="16"/>
      <c r="AN604" s="16"/>
      <c r="AO604" s="16"/>
      <c r="AP604" s="16"/>
      <c r="AQ604" s="16"/>
      <c r="AR604" s="16"/>
      <c r="AS604" s="16"/>
    </row>
    <row r="605" spans="1:45" s="8" customFormat="1" x14ac:dyDescent="0.35">
      <c r="A605" s="16"/>
      <c r="B605" s="16"/>
      <c r="C605" s="16"/>
      <c r="D605" s="16"/>
      <c r="E605" s="16"/>
      <c r="F605" s="16"/>
      <c r="G605" s="16"/>
      <c r="H605" s="16"/>
      <c r="I605" s="16"/>
      <c r="J605" s="16"/>
      <c r="K605" s="16"/>
      <c r="L605" s="16"/>
      <c r="M605" s="16"/>
      <c r="AH605" s="16"/>
      <c r="AI605" s="16"/>
      <c r="AJ605" s="16"/>
      <c r="AK605" s="16"/>
      <c r="AL605" s="16"/>
      <c r="AM605" s="16"/>
      <c r="AN605" s="16"/>
      <c r="AO605" s="16"/>
      <c r="AP605" s="16"/>
      <c r="AQ605" s="16"/>
      <c r="AR605" s="16"/>
      <c r="AS605" s="16"/>
    </row>
    <row r="606" spans="1:45" s="8" customFormat="1" x14ac:dyDescent="0.35">
      <c r="A606" s="16"/>
      <c r="B606" s="16"/>
      <c r="C606" s="16"/>
      <c r="D606" s="16"/>
      <c r="E606" s="16"/>
      <c r="F606" s="16"/>
      <c r="G606" s="16"/>
      <c r="H606" s="16"/>
      <c r="I606" s="16"/>
      <c r="J606" s="16"/>
      <c r="K606" s="16"/>
      <c r="L606" s="16"/>
      <c r="M606" s="16"/>
      <c r="AH606" s="16"/>
      <c r="AI606" s="16"/>
      <c r="AJ606" s="16"/>
      <c r="AK606" s="16"/>
      <c r="AL606" s="16"/>
      <c r="AM606" s="16"/>
      <c r="AN606" s="16"/>
      <c r="AO606" s="16"/>
      <c r="AP606" s="16"/>
      <c r="AQ606" s="16"/>
      <c r="AR606" s="16"/>
      <c r="AS606" s="16"/>
    </row>
    <row r="607" spans="1:45" s="8" customFormat="1" x14ac:dyDescent="0.35">
      <c r="A607" s="16"/>
      <c r="B607" s="16"/>
      <c r="C607" s="16"/>
      <c r="D607" s="16"/>
      <c r="E607" s="16"/>
      <c r="F607" s="16"/>
      <c r="G607" s="16"/>
      <c r="H607" s="16"/>
      <c r="I607" s="16"/>
      <c r="J607" s="16"/>
      <c r="K607" s="16"/>
      <c r="L607" s="16"/>
      <c r="M607" s="16"/>
      <c r="AH607" s="16"/>
      <c r="AI607" s="16"/>
      <c r="AJ607" s="16"/>
      <c r="AK607" s="16"/>
      <c r="AL607" s="16"/>
      <c r="AM607" s="16"/>
      <c r="AN607" s="16"/>
      <c r="AO607" s="16"/>
      <c r="AP607" s="16"/>
      <c r="AQ607" s="16"/>
      <c r="AR607" s="16"/>
      <c r="AS607" s="16"/>
    </row>
    <row r="608" spans="1:45" s="8" customFormat="1" x14ac:dyDescent="0.35">
      <c r="A608" s="16"/>
      <c r="B608" s="16"/>
      <c r="C608" s="16"/>
      <c r="D608" s="16"/>
      <c r="E608" s="16"/>
      <c r="F608" s="16"/>
      <c r="G608" s="16"/>
      <c r="H608" s="16"/>
      <c r="I608" s="16"/>
      <c r="J608" s="16"/>
      <c r="K608" s="16"/>
      <c r="L608" s="16"/>
      <c r="M608" s="16"/>
      <c r="AH608" s="16"/>
      <c r="AI608" s="16"/>
      <c r="AJ608" s="16"/>
      <c r="AK608" s="16"/>
      <c r="AL608" s="16"/>
      <c r="AM608" s="16"/>
      <c r="AN608" s="16"/>
      <c r="AO608" s="16"/>
      <c r="AP608" s="16"/>
      <c r="AQ608" s="16"/>
      <c r="AR608" s="16"/>
      <c r="AS608" s="16"/>
    </row>
    <row r="609" spans="1:45" s="8" customFormat="1" x14ac:dyDescent="0.35">
      <c r="A609" s="16"/>
      <c r="B609" s="16"/>
      <c r="C609" s="16"/>
      <c r="D609" s="16"/>
      <c r="E609" s="16"/>
      <c r="F609" s="16"/>
      <c r="G609" s="16"/>
      <c r="H609" s="16"/>
      <c r="I609" s="16"/>
      <c r="J609" s="16"/>
      <c r="K609" s="16"/>
      <c r="L609" s="16"/>
      <c r="M609" s="16"/>
      <c r="AH609" s="16"/>
      <c r="AI609" s="16"/>
      <c r="AJ609" s="16"/>
      <c r="AK609" s="16"/>
      <c r="AL609" s="16"/>
      <c r="AM609" s="16"/>
      <c r="AN609" s="16"/>
      <c r="AO609" s="16"/>
      <c r="AP609" s="16"/>
      <c r="AQ609" s="16"/>
      <c r="AR609" s="16"/>
      <c r="AS609" s="16"/>
    </row>
    <row r="610" spans="1:45" s="8" customFormat="1" x14ac:dyDescent="0.35">
      <c r="A610" s="16"/>
      <c r="B610" s="16"/>
      <c r="C610" s="16"/>
      <c r="D610" s="16"/>
      <c r="E610" s="16"/>
      <c r="F610" s="16"/>
      <c r="G610" s="16"/>
      <c r="H610" s="16"/>
      <c r="I610" s="16"/>
      <c r="J610" s="16"/>
      <c r="K610" s="16"/>
      <c r="L610" s="16"/>
      <c r="M610" s="16"/>
      <c r="AH610" s="16"/>
      <c r="AI610" s="16"/>
      <c r="AJ610" s="16"/>
      <c r="AK610" s="16"/>
      <c r="AL610" s="16"/>
      <c r="AM610" s="16"/>
      <c r="AN610" s="16"/>
      <c r="AO610" s="16"/>
      <c r="AP610" s="16"/>
      <c r="AQ610" s="16"/>
      <c r="AR610" s="16"/>
      <c r="AS610" s="16"/>
    </row>
    <row r="611" spans="1:45" s="8" customFormat="1" x14ac:dyDescent="0.35">
      <c r="A611" s="16"/>
      <c r="B611" s="16"/>
      <c r="C611" s="16"/>
      <c r="D611" s="16"/>
      <c r="E611" s="16"/>
      <c r="F611" s="16"/>
      <c r="G611" s="16"/>
      <c r="H611" s="16"/>
      <c r="I611" s="16"/>
      <c r="J611" s="16"/>
      <c r="K611" s="16"/>
      <c r="L611" s="16"/>
      <c r="M611" s="16"/>
      <c r="AH611" s="16"/>
      <c r="AI611" s="16"/>
      <c r="AJ611" s="16"/>
      <c r="AK611" s="16"/>
      <c r="AL611" s="16"/>
      <c r="AM611" s="16"/>
      <c r="AN611" s="16"/>
      <c r="AO611" s="16"/>
      <c r="AP611" s="16"/>
      <c r="AQ611" s="16"/>
      <c r="AR611" s="16"/>
      <c r="AS611" s="16"/>
    </row>
    <row r="612" spans="1:45" s="8" customFormat="1" x14ac:dyDescent="0.35">
      <c r="A612" s="16"/>
      <c r="B612" s="16"/>
      <c r="C612" s="16"/>
      <c r="D612" s="16"/>
      <c r="E612" s="16"/>
      <c r="F612" s="16"/>
      <c r="G612" s="16"/>
      <c r="H612" s="16"/>
      <c r="I612" s="16"/>
      <c r="J612" s="16"/>
      <c r="K612" s="16"/>
      <c r="L612" s="16"/>
      <c r="M612" s="16"/>
      <c r="AH612" s="16"/>
      <c r="AI612" s="16"/>
      <c r="AJ612" s="16"/>
      <c r="AK612" s="16"/>
      <c r="AL612" s="16"/>
      <c r="AM612" s="16"/>
      <c r="AN612" s="16"/>
      <c r="AO612" s="16"/>
      <c r="AP612" s="16"/>
      <c r="AQ612" s="16"/>
      <c r="AR612" s="16"/>
      <c r="AS612" s="16"/>
    </row>
    <row r="613" spans="1:45" s="8" customFormat="1" x14ac:dyDescent="0.35">
      <c r="A613" s="16"/>
      <c r="B613" s="16"/>
      <c r="C613" s="16"/>
      <c r="D613" s="16"/>
      <c r="E613" s="16"/>
      <c r="F613" s="16"/>
      <c r="G613" s="16"/>
      <c r="H613" s="16"/>
      <c r="I613" s="16"/>
      <c r="J613" s="16"/>
      <c r="K613" s="16"/>
      <c r="L613" s="16"/>
      <c r="M613" s="16"/>
      <c r="AH613" s="16"/>
      <c r="AI613" s="16"/>
      <c r="AJ613" s="16"/>
      <c r="AK613" s="16"/>
      <c r="AL613" s="16"/>
      <c r="AM613" s="16"/>
      <c r="AN613" s="16"/>
      <c r="AO613" s="16"/>
      <c r="AP613" s="16"/>
      <c r="AQ613" s="16"/>
      <c r="AR613" s="16"/>
      <c r="AS613" s="16"/>
    </row>
    <row r="614" spans="1:45" s="8" customFormat="1" x14ac:dyDescent="0.35">
      <c r="A614" s="16"/>
      <c r="B614" s="16"/>
      <c r="C614" s="16"/>
      <c r="D614" s="16"/>
      <c r="E614" s="16"/>
      <c r="F614" s="16"/>
      <c r="G614" s="16"/>
      <c r="H614" s="16"/>
      <c r="I614" s="16"/>
      <c r="J614" s="16"/>
      <c r="K614" s="16"/>
      <c r="L614" s="16"/>
      <c r="M614" s="16"/>
      <c r="AH614" s="16"/>
      <c r="AI614" s="16"/>
      <c r="AJ614" s="16"/>
      <c r="AK614" s="16"/>
      <c r="AL614" s="16"/>
      <c r="AM614" s="16"/>
      <c r="AN614" s="16"/>
      <c r="AO614" s="16"/>
      <c r="AP614" s="16"/>
      <c r="AQ614" s="16"/>
      <c r="AR614" s="16"/>
      <c r="AS614" s="16"/>
    </row>
    <row r="615" spans="1:45" s="8" customFormat="1" x14ac:dyDescent="0.35">
      <c r="A615" s="16"/>
      <c r="B615" s="16"/>
      <c r="C615" s="16"/>
      <c r="D615" s="16"/>
      <c r="E615" s="16"/>
      <c r="F615" s="16"/>
      <c r="G615" s="16"/>
      <c r="H615" s="16"/>
      <c r="I615" s="16"/>
      <c r="J615" s="16"/>
      <c r="K615" s="16"/>
      <c r="L615" s="16"/>
      <c r="M615" s="16"/>
      <c r="AH615" s="16"/>
      <c r="AI615" s="16"/>
      <c r="AJ615" s="16"/>
      <c r="AK615" s="16"/>
      <c r="AL615" s="16"/>
      <c r="AM615" s="16"/>
      <c r="AN615" s="16"/>
      <c r="AO615" s="16"/>
      <c r="AP615" s="16"/>
      <c r="AQ615" s="16"/>
      <c r="AR615" s="16"/>
      <c r="AS615" s="16"/>
    </row>
    <row r="616" spans="1:45" s="8" customFormat="1" x14ac:dyDescent="0.35">
      <c r="A616" s="16"/>
      <c r="B616" s="16"/>
      <c r="C616" s="16"/>
      <c r="D616" s="16"/>
      <c r="E616" s="16"/>
      <c r="F616" s="16"/>
      <c r="G616" s="16"/>
      <c r="H616" s="16"/>
      <c r="I616" s="16"/>
      <c r="J616" s="16"/>
      <c r="K616" s="16"/>
      <c r="L616" s="16"/>
      <c r="M616" s="16"/>
      <c r="AH616" s="16"/>
      <c r="AI616" s="16"/>
      <c r="AJ616" s="16"/>
      <c r="AK616" s="16"/>
      <c r="AL616" s="16"/>
      <c r="AM616" s="16"/>
      <c r="AN616" s="16"/>
      <c r="AO616" s="16"/>
      <c r="AP616" s="16"/>
      <c r="AQ616" s="16"/>
      <c r="AR616" s="16"/>
      <c r="AS616" s="16"/>
    </row>
    <row r="617" spans="1:45" s="8" customFormat="1" x14ac:dyDescent="0.35">
      <c r="A617" s="16"/>
      <c r="B617" s="16"/>
      <c r="C617" s="16"/>
      <c r="D617" s="16"/>
      <c r="E617" s="16"/>
      <c r="F617" s="16"/>
      <c r="G617" s="16"/>
      <c r="H617" s="16"/>
      <c r="I617" s="16"/>
      <c r="J617" s="16"/>
      <c r="K617" s="16"/>
      <c r="L617" s="16"/>
      <c r="M617" s="16"/>
      <c r="AH617" s="16"/>
      <c r="AI617" s="16"/>
      <c r="AJ617" s="16"/>
      <c r="AK617" s="16"/>
      <c r="AL617" s="16"/>
      <c r="AM617" s="16"/>
      <c r="AN617" s="16"/>
      <c r="AO617" s="16"/>
      <c r="AP617" s="16"/>
      <c r="AQ617" s="16"/>
      <c r="AR617" s="16"/>
      <c r="AS617" s="16"/>
    </row>
    <row r="618" spans="1:45" s="8" customFormat="1" x14ac:dyDescent="0.35">
      <c r="A618" s="16"/>
      <c r="B618" s="16"/>
      <c r="C618" s="16"/>
      <c r="D618" s="16"/>
      <c r="E618" s="16"/>
      <c r="F618" s="16"/>
      <c r="G618" s="16"/>
      <c r="H618" s="16"/>
      <c r="I618" s="16"/>
      <c r="J618" s="16"/>
      <c r="K618" s="16"/>
      <c r="L618" s="16"/>
      <c r="M618" s="16"/>
      <c r="AH618" s="16"/>
      <c r="AI618" s="16"/>
      <c r="AJ618" s="16"/>
      <c r="AK618" s="16"/>
      <c r="AL618" s="16"/>
      <c r="AM618" s="16"/>
      <c r="AN618" s="16"/>
      <c r="AO618" s="16"/>
      <c r="AP618" s="16"/>
      <c r="AQ618" s="16"/>
      <c r="AR618" s="16"/>
      <c r="AS618" s="16"/>
    </row>
    <row r="619" spans="1:45" s="8" customFormat="1" x14ac:dyDescent="0.35">
      <c r="A619" s="16"/>
      <c r="B619" s="16"/>
      <c r="C619" s="16"/>
      <c r="D619" s="16"/>
      <c r="E619" s="16"/>
      <c r="F619" s="16"/>
      <c r="G619" s="16"/>
      <c r="H619" s="16"/>
      <c r="I619" s="16"/>
      <c r="J619" s="16"/>
      <c r="K619" s="16"/>
      <c r="L619" s="16"/>
      <c r="M619" s="16"/>
      <c r="AH619" s="16"/>
      <c r="AI619" s="16"/>
      <c r="AJ619" s="16"/>
      <c r="AK619" s="16"/>
      <c r="AL619" s="16"/>
      <c r="AM619" s="16"/>
      <c r="AN619" s="16"/>
      <c r="AO619" s="16"/>
      <c r="AP619" s="16"/>
      <c r="AQ619" s="16"/>
      <c r="AR619" s="16"/>
      <c r="AS619" s="16"/>
    </row>
    <row r="620" spans="1:45" s="8" customFormat="1" x14ac:dyDescent="0.35">
      <c r="A620" s="16"/>
      <c r="B620" s="16"/>
      <c r="C620" s="16"/>
      <c r="D620" s="16"/>
      <c r="E620" s="16"/>
      <c r="F620" s="16"/>
      <c r="G620" s="16"/>
      <c r="H620" s="16"/>
      <c r="I620" s="16"/>
      <c r="J620" s="16"/>
      <c r="K620" s="16"/>
      <c r="L620" s="16"/>
      <c r="M620" s="16"/>
      <c r="AH620" s="16"/>
      <c r="AI620" s="16"/>
      <c r="AJ620" s="16"/>
      <c r="AK620" s="16"/>
      <c r="AL620" s="16"/>
      <c r="AM620" s="16"/>
      <c r="AN620" s="16"/>
      <c r="AO620" s="16"/>
      <c r="AP620" s="16"/>
      <c r="AQ620" s="16"/>
      <c r="AR620" s="16"/>
      <c r="AS620" s="16"/>
    </row>
    <row r="621" spans="1:45" s="8" customFormat="1" x14ac:dyDescent="0.35">
      <c r="A621" s="16"/>
      <c r="B621" s="16"/>
      <c r="C621" s="16"/>
      <c r="D621" s="16"/>
      <c r="E621" s="16"/>
      <c r="F621" s="16"/>
      <c r="G621" s="16"/>
      <c r="H621" s="16"/>
      <c r="I621" s="16"/>
      <c r="J621" s="16"/>
      <c r="K621" s="16"/>
      <c r="L621" s="16"/>
      <c r="M621" s="16"/>
      <c r="AH621" s="16"/>
      <c r="AI621" s="16"/>
      <c r="AJ621" s="16"/>
      <c r="AK621" s="16"/>
      <c r="AL621" s="16"/>
      <c r="AM621" s="16"/>
      <c r="AN621" s="16"/>
      <c r="AO621" s="16"/>
      <c r="AP621" s="16"/>
      <c r="AQ621" s="16"/>
      <c r="AR621" s="16"/>
      <c r="AS621" s="16"/>
    </row>
    <row r="622" spans="1:45" s="8" customFormat="1" x14ac:dyDescent="0.35">
      <c r="A622" s="16"/>
      <c r="B622" s="16"/>
      <c r="C622" s="16"/>
      <c r="D622" s="16"/>
      <c r="E622" s="16"/>
      <c r="F622" s="16"/>
      <c r="G622" s="16"/>
      <c r="H622" s="16"/>
      <c r="I622" s="16"/>
      <c r="J622" s="16"/>
      <c r="K622" s="16"/>
      <c r="L622" s="16"/>
      <c r="M622" s="16"/>
      <c r="AH622" s="16"/>
      <c r="AI622" s="16"/>
      <c r="AJ622" s="16"/>
      <c r="AK622" s="16"/>
      <c r="AL622" s="16"/>
      <c r="AM622" s="16"/>
      <c r="AN622" s="16"/>
      <c r="AO622" s="16"/>
      <c r="AP622" s="16"/>
      <c r="AQ622" s="16"/>
      <c r="AR622" s="16"/>
      <c r="AS622" s="16"/>
    </row>
    <row r="623" spans="1:45" s="8" customFormat="1" x14ac:dyDescent="0.35">
      <c r="A623" s="16"/>
      <c r="B623" s="16"/>
      <c r="C623" s="16"/>
      <c r="D623" s="16"/>
      <c r="E623" s="16"/>
      <c r="F623" s="16"/>
      <c r="G623" s="16"/>
      <c r="H623" s="16"/>
      <c r="I623" s="16"/>
      <c r="J623" s="16"/>
      <c r="K623" s="16"/>
      <c r="L623" s="16"/>
      <c r="M623" s="16"/>
      <c r="AH623" s="16"/>
      <c r="AI623" s="16"/>
      <c r="AJ623" s="16"/>
      <c r="AK623" s="16"/>
      <c r="AL623" s="16"/>
      <c r="AM623" s="16"/>
      <c r="AN623" s="16"/>
      <c r="AO623" s="16"/>
      <c r="AP623" s="16"/>
      <c r="AQ623" s="16"/>
      <c r="AR623" s="16"/>
      <c r="AS623" s="16"/>
    </row>
    <row r="624" spans="1:45" s="8" customFormat="1" x14ac:dyDescent="0.35">
      <c r="A624" s="16"/>
      <c r="B624" s="16"/>
      <c r="C624" s="16"/>
      <c r="D624" s="16"/>
      <c r="E624" s="16"/>
      <c r="F624" s="16"/>
      <c r="G624" s="16"/>
      <c r="H624" s="16"/>
      <c r="I624" s="16"/>
      <c r="J624" s="16"/>
      <c r="K624" s="16"/>
      <c r="L624" s="16"/>
      <c r="M624" s="16"/>
      <c r="AH624" s="16"/>
      <c r="AI624" s="16"/>
      <c r="AJ624" s="16"/>
      <c r="AK624" s="16"/>
      <c r="AL624" s="16"/>
      <c r="AM624" s="16"/>
      <c r="AN624" s="16"/>
      <c r="AO624" s="16"/>
      <c r="AP624" s="16"/>
      <c r="AQ624" s="16"/>
      <c r="AR624" s="16"/>
      <c r="AS624" s="16"/>
    </row>
    <row r="625" spans="1:45" s="8" customFormat="1" x14ac:dyDescent="0.35">
      <c r="A625" s="16"/>
      <c r="B625" s="16"/>
      <c r="C625" s="16"/>
      <c r="D625" s="16"/>
      <c r="E625" s="16"/>
      <c r="F625" s="16"/>
      <c r="G625" s="16"/>
      <c r="H625" s="16"/>
      <c r="I625" s="16"/>
      <c r="J625" s="16"/>
      <c r="K625" s="16"/>
      <c r="L625" s="16"/>
      <c r="M625" s="16"/>
      <c r="AH625" s="16"/>
      <c r="AI625" s="16"/>
      <c r="AJ625" s="16"/>
      <c r="AK625" s="16"/>
      <c r="AL625" s="16"/>
      <c r="AM625" s="16"/>
      <c r="AN625" s="16"/>
      <c r="AO625" s="16"/>
      <c r="AP625" s="16"/>
      <c r="AQ625" s="16"/>
      <c r="AR625" s="16"/>
      <c r="AS625" s="16"/>
    </row>
    <row r="626" spans="1:45" s="8" customFormat="1" x14ac:dyDescent="0.35">
      <c r="A626" s="16"/>
      <c r="B626" s="16"/>
      <c r="C626" s="16"/>
      <c r="D626" s="16"/>
      <c r="E626" s="16"/>
      <c r="F626" s="16"/>
      <c r="G626" s="16"/>
      <c r="H626" s="16"/>
      <c r="I626" s="16"/>
      <c r="J626" s="16"/>
      <c r="K626" s="16"/>
      <c r="L626" s="16"/>
      <c r="M626" s="16"/>
      <c r="AH626" s="16"/>
      <c r="AI626" s="16"/>
      <c r="AJ626" s="16"/>
      <c r="AK626" s="16"/>
      <c r="AL626" s="16"/>
      <c r="AM626" s="16"/>
      <c r="AN626" s="16"/>
      <c r="AO626" s="16"/>
      <c r="AP626" s="16"/>
      <c r="AQ626" s="16"/>
      <c r="AR626" s="16"/>
      <c r="AS626" s="16"/>
    </row>
    <row r="627" spans="1:45" s="8" customFormat="1" x14ac:dyDescent="0.35">
      <c r="A627" s="16"/>
      <c r="B627" s="16"/>
      <c r="C627" s="16"/>
      <c r="D627" s="16"/>
      <c r="E627" s="16"/>
      <c r="F627" s="16"/>
      <c r="G627" s="16"/>
      <c r="H627" s="16"/>
      <c r="I627" s="16"/>
      <c r="J627" s="16"/>
      <c r="K627" s="16"/>
      <c r="L627" s="16"/>
      <c r="M627" s="16"/>
      <c r="AH627" s="16"/>
      <c r="AI627" s="16"/>
      <c r="AJ627" s="16"/>
      <c r="AK627" s="16"/>
      <c r="AL627" s="16"/>
      <c r="AM627" s="16"/>
      <c r="AN627" s="16"/>
      <c r="AO627" s="16"/>
      <c r="AP627" s="16"/>
      <c r="AQ627" s="16"/>
      <c r="AR627" s="16"/>
      <c r="AS627" s="16"/>
    </row>
    <row r="628" spans="1:45" s="8" customFormat="1" x14ac:dyDescent="0.35">
      <c r="A628" s="16"/>
      <c r="B628" s="16"/>
      <c r="C628" s="16"/>
      <c r="D628" s="16"/>
      <c r="E628" s="16"/>
      <c r="F628" s="16"/>
      <c r="G628" s="16"/>
      <c r="H628" s="16"/>
      <c r="I628" s="16"/>
      <c r="J628" s="16"/>
      <c r="K628" s="16"/>
      <c r="L628" s="16"/>
      <c r="M628" s="16"/>
      <c r="AH628" s="16"/>
      <c r="AI628" s="16"/>
      <c r="AJ628" s="16"/>
      <c r="AK628" s="16"/>
      <c r="AL628" s="16"/>
      <c r="AM628" s="16"/>
      <c r="AN628" s="16"/>
      <c r="AO628" s="16"/>
      <c r="AP628" s="16"/>
      <c r="AQ628" s="16"/>
      <c r="AR628" s="16"/>
      <c r="AS628" s="16"/>
    </row>
    <row r="629" spans="1:45" s="8" customFormat="1" x14ac:dyDescent="0.35">
      <c r="A629" s="16"/>
      <c r="B629" s="16"/>
      <c r="C629" s="16"/>
      <c r="D629" s="16"/>
      <c r="E629" s="16"/>
      <c r="F629" s="16"/>
      <c r="G629" s="16"/>
      <c r="H629" s="16"/>
      <c r="I629" s="16"/>
      <c r="J629" s="16"/>
      <c r="K629" s="16"/>
      <c r="L629" s="16"/>
      <c r="M629" s="16"/>
      <c r="AH629" s="16"/>
      <c r="AI629" s="16"/>
      <c r="AJ629" s="16"/>
      <c r="AK629" s="16"/>
      <c r="AL629" s="16"/>
      <c r="AM629" s="16"/>
      <c r="AN629" s="16"/>
      <c r="AO629" s="16"/>
      <c r="AP629" s="16"/>
      <c r="AQ629" s="16"/>
      <c r="AR629" s="16"/>
      <c r="AS629" s="16"/>
    </row>
    <row r="630" spans="1:45" s="8" customFormat="1" x14ac:dyDescent="0.35">
      <c r="A630" s="16"/>
      <c r="B630" s="16"/>
      <c r="C630" s="16"/>
      <c r="D630" s="16"/>
      <c r="E630" s="16"/>
      <c r="F630" s="16"/>
      <c r="G630" s="16"/>
      <c r="H630" s="16"/>
      <c r="I630" s="16"/>
      <c r="J630" s="16"/>
      <c r="K630" s="16"/>
      <c r="L630" s="16"/>
      <c r="M630" s="16"/>
      <c r="AH630" s="16"/>
      <c r="AI630" s="16"/>
      <c r="AJ630" s="16"/>
      <c r="AK630" s="16"/>
      <c r="AL630" s="16"/>
      <c r="AM630" s="16"/>
      <c r="AN630" s="16"/>
      <c r="AO630" s="16"/>
      <c r="AP630" s="16"/>
      <c r="AQ630" s="16"/>
      <c r="AR630" s="16"/>
      <c r="AS630" s="16"/>
    </row>
    <row r="631" spans="1:45" s="8" customFormat="1" x14ac:dyDescent="0.35">
      <c r="A631" s="16"/>
      <c r="B631" s="16"/>
      <c r="C631" s="16"/>
      <c r="D631" s="16"/>
      <c r="E631" s="16"/>
      <c r="F631" s="16"/>
      <c r="G631" s="16"/>
      <c r="H631" s="16"/>
      <c r="I631" s="16"/>
      <c r="J631" s="16"/>
      <c r="K631" s="16"/>
      <c r="L631" s="16"/>
      <c r="M631" s="16"/>
      <c r="AH631" s="16"/>
      <c r="AI631" s="16"/>
      <c r="AJ631" s="16"/>
      <c r="AK631" s="16"/>
      <c r="AL631" s="16"/>
      <c r="AM631" s="16"/>
      <c r="AN631" s="16"/>
      <c r="AO631" s="16"/>
      <c r="AP631" s="16"/>
      <c r="AQ631" s="16"/>
      <c r="AR631" s="16"/>
      <c r="AS631" s="16"/>
    </row>
    <row r="632" spans="1:45" s="8" customFormat="1" x14ac:dyDescent="0.35">
      <c r="A632" s="16"/>
      <c r="B632" s="16"/>
      <c r="C632" s="16"/>
      <c r="D632" s="16"/>
      <c r="E632" s="16"/>
      <c r="F632" s="16"/>
      <c r="G632" s="16"/>
      <c r="H632" s="16"/>
      <c r="I632" s="16"/>
      <c r="J632" s="16"/>
      <c r="K632" s="16"/>
      <c r="L632" s="16"/>
      <c r="M632" s="16"/>
      <c r="AH632" s="16"/>
      <c r="AI632" s="16"/>
      <c r="AJ632" s="16"/>
      <c r="AK632" s="16"/>
      <c r="AL632" s="16"/>
      <c r="AM632" s="16"/>
      <c r="AN632" s="16"/>
      <c r="AO632" s="16"/>
      <c r="AP632" s="16"/>
      <c r="AQ632" s="16"/>
      <c r="AR632" s="16"/>
      <c r="AS632" s="16"/>
    </row>
    <row r="633" spans="1:45" s="8" customFormat="1" x14ac:dyDescent="0.35">
      <c r="A633" s="16"/>
      <c r="B633" s="16"/>
      <c r="C633" s="16"/>
      <c r="D633" s="16"/>
      <c r="E633" s="16"/>
      <c r="F633" s="16"/>
      <c r="G633" s="16"/>
      <c r="H633" s="16"/>
      <c r="I633" s="16"/>
      <c r="J633" s="16"/>
      <c r="K633" s="16"/>
      <c r="L633" s="16"/>
      <c r="M633" s="16"/>
      <c r="AH633" s="16"/>
      <c r="AI633" s="16"/>
      <c r="AJ633" s="16"/>
      <c r="AK633" s="16"/>
      <c r="AL633" s="16"/>
      <c r="AM633" s="16"/>
      <c r="AN633" s="16"/>
      <c r="AO633" s="16"/>
      <c r="AP633" s="16"/>
      <c r="AQ633" s="16"/>
      <c r="AR633" s="16"/>
      <c r="AS633" s="16"/>
    </row>
    <row r="634" spans="1:45" s="8" customFormat="1" x14ac:dyDescent="0.35">
      <c r="A634" s="16"/>
      <c r="B634" s="16"/>
      <c r="C634" s="16"/>
      <c r="D634" s="16"/>
      <c r="E634" s="16"/>
      <c r="F634" s="16"/>
      <c r="G634" s="16"/>
      <c r="H634" s="16"/>
      <c r="I634" s="16"/>
      <c r="J634" s="16"/>
      <c r="K634" s="16"/>
      <c r="L634" s="16"/>
      <c r="M634" s="16"/>
      <c r="AH634" s="16"/>
      <c r="AI634" s="16"/>
      <c r="AJ634" s="16"/>
      <c r="AK634" s="16"/>
      <c r="AL634" s="16"/>
      <c r="AM634" s="16"/>
      <c r="AN634" s="16"/>
      <c r="AO634" s="16"/>
      <c r="AP634" s="16"/>
      <c r="AQ634" s="16"/>
      <c r="AR634" s="16"/>
      <c r="AS634" s="16"/>
    </row>
    <row r="635" spans="1:45" s="8" customFormat="1" x14ac:dyDescent="0.35">
      <c r="A635" s="16"/>
      <c r="B635" s="16"/>
      <c r="C635" s="16"/>
      <c r="D635" s="16"/>
      <c r="E635" s="16"/>
      <c r="F635" s="16"/>
      <c r="G635" s="16"/>
      <c r="H635" s="16"/>
      <c r="I635" s="16"/>
      <c r="J635" s="16"/>
      <c r="K635" s="16"/>
      <c r="L635" s="16"/>
      <c r="M635" s="16"/>
      <c r="AH635" s="16"/>
      <c r="AI635" s="16"/>
      <c r="AJ635" s="16"/>
      <c r="AK635" s="16"/>
      <c r="AL635" s="16"/>
      <c r="AM635" s="16"/>
      <c r="AN635" s="16"/>
      <c r="AO635" s="16"/>
      <c r="AP635" s="16"/>
      <c r="AQ635" s="16"/>
      <c r="AR635" s="16"/>
      <c r="AS635" s="16"/>
    </row>
    <row r="636" spans="1:45" s="8" customFormat="1" x14ac:dyDescent="0.35">
      <c r="A636" s="16"/>
      <c r="B636" s="16"/>
      <c r="C636" s="16"/>
      <c r="D636" s="16"/>
      <c r="E636" s="16"/>
      <c r="F636" s="16"/>
      <c r="G636" s="16"/>
      <c r="H636" s="16"/>
      <c r="I636" s="16"/>
      <c r="J636" s="16"/>
      <c r="K636" s="16"/>
      <c r="L636" s="16"/>
      <c r="M636" s="16"/>
      <c r="AH636" s="16"/>
      <c r="AI636" s="16"/>
      <c r="AJ636" s="16"/>
      <c r="AK636" s="16"/>
      <c r="AL636" s="16"/>
      <c r="AM636" s="16"/>
      <c r="AN636" s="16"/>
      <c r="AO636" s="16"/>
      <c r="AP636" s="16"/>
      <c r="AQ636" s="16"/>
      <c r="AR636" s="16"/>
      <c r="AS636" s="16"/>
    </row>
    <row r="637" spans="1:45" s="8" customFormat="1" x14ac:dyDescent="0.35">
      <c r="A637" s="16"/>
      <c r="B637" s="16"/>
      <c r="C637" s="16"/>
      <c r="D637" s="16"/>
      <c r="E637" s="16"/>
      <c r="F637" s="16"/>
      <c r="G637" s="16"/>
      <c r="H637" s="16"/>
      <c r="I637" s="16"/>
      <c r="J637" s="16"/>
      <c r="K637" s="16"/>
      <c r="L637" s="16"/>
      <c r="M637" s="16"/>
      <c r="AH637" s="16"/>
      <c r="AI637" s="16"/>
      <c r="AJ637" s="16"/>
      <c r="AK637" s="16"/>
      <c r="AL637" s="16"/>
      <c r="AM637" s="16"/>
      <c r="AN637" s="16"/>
      <c r="AO637" s="16"/>
      <c r="AP637" s="16"/>
      <c r="AQ637" s="16"/>
      <c r="AR637" s="16"/>
      <c r="AS637" s="16"/>
    </row>
    <row r="638" spans="1:45" s="8" customFormat="1" x14ac:dyDescent="0.35">
      <c r="A638" s="16"/>
      <c r="B638" s="16"/>
      <c r="C638" s="16"/>
      <c r="D638" s="16"/>
      <c r="E638" s="16"/>
      <c r="F638" s="16"/>
      <c r="G638" s="16"/>
      <c r="H638" s="16"/>
      <c r="I638" s="16"/>
      <c r="J638" s="16"/>
      <c r="K638" s="16"/>
      <c r="L638" s="16"/>
      <c r="M638" s="16"/>
      <c r="AH638" s="16"/>
      <c r="AI638" s="16"/>
      <c r="AJ638" s="16"/>
      <c r="AK638" s="16"/>
      <c r="AL638" s="16"/>
      <c r="AM638" s="16"/>
      <c r="AN638" s="16"/>
      <c r="AO638" s="16"/>
      <c r="AP638" s="16"/>
      <c r="AQ638" s="16"/>
      <c r="AR638" s="16"/>
      <c r="AS638" s="16"/>
    </row>
    <row r="639" spans="1:45" s="8" customFormat="1" x14ac:dyDescent="0.35">
      <c r="A639" s="16"/>
      <c r="B639" s="16"/>
      <c r="C639" s="16"/>
      <c r="D639" s="16"/>
      <c r="E639" s="16"/>
      <c r="F639" s="16"/>
      <c r="G639" s="16"/>
      <c r="H639" s="16"/>
      <c r="I639" s="16"/>
      <c r="J639" s="16"/>
      <c r="K639" s="16"/>
      <c r="L639" s="16"/>
      <c r="M639" s="16"/>
      <c r="AH639" s="16"/>
      <c r="AI639" s="16"/>
      <c r="AJ639" s="16"/>
      <c r="AK639" s="16"/>
      <c r="AL639" s="16"/>
      <c r="AM639" s="16"/>
      <c r="AN639" s="16"/>
      <c r="AO639" s="16"/>
      <c r="AP639" s="16"/>
      <c r="AQ639" s="16"/>
      <c r="AR639" s="16"/>
      <c r="AS639" s="16"/>
    </row>
    <row r="640" spans="1:45" s="8" customFormat="1" x14ac:dyDescent="0.35">
      <c r="A640" s="16"/>
      <c r="B640" s="16"/>
      <c r="C640" s="16"/>
      <c r="D640" s="16"/>
      <c r="E640" s="16"/>
      <c r="F640" s="16"/>
      <c r="G640" s="16"/>
      <c r="H640" s="16"/>
      <c r="I640" s="16"/>
      <c r="J640" s="16"/>
      <c r="K640" s="16"/>
      <c r="L640" s="16"/>
      <c r="M640" s="16"/>
      <c r="AH640" s="16"/>
      <c r="AI640" s="16"/>
      <c r="AJ640" s="16"/>
      <c r="AK640" s="16"/>
      <c r="AL640" s="16"/>
      <c r="AM640" s="16"/>
      <c r="AN640" s="16"/>
      <c r="AO640" s="16"/>
      <c r="AP640" s="16"/>
      <c r="AQ640" s="16"/>
      <c r="AR640" s="16"/>
      <c r="AS640" s="16"/>
    </row>
    <row r="641" spans="1:45" s="8" customFormat="1" x14ac:dyDescent="0.35">
      <c r="A641" s="16"/>
      <c r="B641" s="16"/>
      <c r="C641" s="16"/>
      <c r="D641" s="16"/>
      <c r="E641" s="16"/>
      <c r="F641" s="16"/>
      <c r="G641" s="16"/>
      <c r="H641" s="16"/>
      <c r="I641" s="16"/>
      <c r="J641" s="16"/>
      <c r="K641" s="16"/>
      <c r="L641" s="16"/>
      <c r="M641" s="16"/>
      <c r="AH641" s="16"/>
      <c r="AI641" s="16"/>
      <c r="AJ641" s="16"/>
      <c r="AK641" s="16"/>
      <c r="AL641" s="16"/>
      <c r="AM641" s="16"/>
      <c r="AN641" s="16"/>
      <c r="AO641" s="16"/>
      <c r="AP641" s="16"/>
      <c r="AQ641" s="16"/>
      <c r="AR641" s="16"/>
      <c r="AS641" s="16"/>
    </row>
    <row r="642" spans="1:45" s="8" customFormat="1" x14ac:dyDescent="0.35">
      <c r="A642" s="16"/>
      <c r="B642" s="16"/>
      <c r="C642" s="16"/>
      <c r="D642" s="16"/>
      <c r="E642" s="16"/>
      <c r="F642" s="16"/>
      <c r="G642" s="16"/>
      <c r="H642" s="16"/>
      <c r="I642" s="16"/>
      <c r="J642" s="16"/>
      <c r="K642" s="16"/>
      <c r="L642" s="16"/>
      <c r="M642" s="16"/>
      <c r="AH642" s="16"/>
      <c r="AI642" s="16"/>
      <c r="AJ642" s="16"/>
      <c r="AK642" s="16"/>
      <c r="AL642" s="16"/>
      <c r="AM642" s="16"/>
      <c r="AN642" s="16"/>
      <c r="AO642" s="16"/>
      <c r="AP642" s="16"/>
      <c r="AQ642" s="16"/>
      <c r="AR642" s="16"/>
      <c r="AS642" s="16"/>
    </row>
    <row r="643" spans="1:45" s="8" customFormat="1" x14ac:dyDescent="0.35">
      <c r="A643" s="16"/>
      <c r="B643" s="16"/>
      <c r="C643" s="16"/>
      <c r="D643" s="16"/>
      <c r="E643" s="16"/>
      <c r="F643" s="16"/>
      <c r="G643" s="16"/>
      <c r="H643" s="16"/>
      <c r="I643" s="16"/>
      <c r="J643" s="16"/>
      <c r="K643" s="16"/>
      <c r="L643" s="16"/>
      <c r="M643" s="16"/>
      <c r="AH643" s="16"/>
      <c r="AI643" s="16"/>
      <c r="AJ643" s="16"/>
      <c r="AK643" s="16"/>
      <c r="AL643" s="16"/>
      <c r="AM643" s="16"/>
      <c r="AN643" s="16"/>
      <c r="AO643" s="16"/>
      <c r="AP643" s="16"/>
      <c r="AQ643" s="16"/>
      <c r="AR643" s="16"/>
      <c r="AS643" s="16"/>
    </row>
    <row r="644" spans="1:45" s="8" customFormat="1" x14ac:dyDescent="0.35">
      <c r="A644" s="16"/>
      <c r="B644" s="16"/>
      <c r="C644" s="16"/>
      <c r="D644" s="16"/>
      <c r="E644" s="16"/>
      <c r="F644" s="16"/>
      <c r="G644" s="16"/>
      <c r="H644" s="16"/>
      <c r="I644" s="16"/>
      <c r="J644" s="16"/>
      <c r="K644" s="16"/>
      <c r="L644" s="16"/>
      <c r="M644" s="16"/>
      <c r="AH644" s="16"/>
      <c r="AI644" s="16"/>
      <c r="AJ644" s="16"/>
      <c r="AK644" s="16"/>
      <c r="AL644" s="16"/>
      <c r="AM644" s="16"/>
      <c r="AN644" s="16"/>
      <c r="AO644" s="16"/>
      <c r="AP644" s="16"/>
      <c r="AQ644" s="16"/>
      <c r="AR644" s="16"/>
      <c r="AS644" s="16"/>
    </row>
    <row r="645" spans="1:45" s="8" customFormat="1" x14ac:dyDescent="0.35">
      <c r="A645" s="16"/>
      <c r="B645" s="16"/>
      <c r="C645" s="16"/>
      <c r="D645" s="16"/>
      <c r="E645" s="16"/>
      <c r="F645" s="16"/>
      <c r="G645" s="16"/>
      <c r="H645" s="16"/>
      <c r="I645" s="16"/>
      <c r="J645" s="16"/>
      <c r="K645" s="16"/>
      <c r="L645" s="16"/>
      <c r="M645" s="16"/>
      <c r="AH645" s="16"/>
      <c r="AI645" s="16"/>
      <c r="AJ645" s="16"/>
      <c r="AK645" s="16"/>
      <c r="AL645" s="16"/>
      <c r="AM645" s="16"/>
      <c r="AN645" s="16"/>
      <c r="AO645" s="16"/>
      <c r="AP645" s="16"/>
      <c r="AQ645" s="16"/>
      <c r="AR645" s="16"/>
      <c r="AS645" s="16"/>
    </row>
    <row r="646" spans="1:45" s="8" customFormat="1" x14ac:dyDescent="0.35">
      <c r="A646" s="16"/>
      <c r="B646" s="16"/>
      <c r="C646" s="16"/>
      <c r="D646" s="16"/>
      <c r="E646" s="16"/>
      <c r="F646" s="16"/>
      <c r="G646" s="16"/>
      <c r="H646" s="16"/>
      <c r="I646" s="16"/>
      <c r="J646" s="16"/>
      <c r="K646" s="16"/>
      <c r="L646" s="16"/>
      <c r="M646" s="16"/>
      <c r="AH646" s="16"/>
      <c r="AI646" s="16"/>
      <c r="AJ646" s="16"/>
      <c r="AK646" s="16"/>
      <c r="AL646" s="16"/>
      <c r="AM646" s="16"/>
      <c r="AN646" s="16"/>
      <c r="AO646" s="16"/>
      <c r="AP646" s="16"/>
      <c r="AQ646" s="16"/>
      <c r="AR646" s="16"/>
      <c r="AS646" s="16"/>
    </row>
    <row r="647" spans="1:45" s="8" customFormat="1" x14ac:dyDescent="0.35">
      <c r="A647" s="16"/>
      <c r="B647" s="16"/>
      <c r="C647" s="16"/>
      <c r="D647" s="16"/>
      <c r="E647" s="16"/>
      <c r="F647" s="16"/>
      <c r="G647" s="16"/>
      <c r="H647" s="16"/>
      <c r="I647" s="16"/>
      <c r="J647" s="16"/>
      <c r="K647" s="16"/>
      <c r="L647" s="16"/>
      <c r="M647" s="16"/>
      <c r="AH647" s="16"/>
      <c r="AI647" s="16"/>
      <c r="AJ647" s="16"/>
      <c r="AK647" s="16"/>
      <c r="AL647" s="16"/>
      <c r="AM647" s="16"/>
      <c r="AN647" s="16"/>
      <c r="AO647" s="16"/>
      <c r="AP647" s="16"/>
      <c r="AQ647" s="16"/>
      <c r="AR647" s="16"/>
      <c r="AS647" s="16"/>
    </row>
    <row r="648" spans="1:45" s="8" customFormat="1" x14ac:dyDescent="0.35">
      <c r="A648" s="16"/>
      <c r="B648" s="16"/>
      <c r="C648" s="16"/>
      <c r="D648" s="16"/>
      <c r="E648" s="16"/>
      <c r="F648" s="16"/>
      <c r="G648" s="16"/>
      <c r="H648" s="16"/>
      <c r="I648" s="16"/>
      <c r="J648" s="16"/>
      <c r="K648" s="16"/>
      <c r="L648" s="16"/>
      <c r="M648" s="16"/>
      <c r="AH648" s="16"/>
      <c r="AI648" s="16"/>
      <c r="AJ648" s="16"/>
      <c r="AK648" s="16"/>
      <c r="AL648" s="16"/>
      <c r="AM648" s="16"/>
      <c r="AN648" s="16"/>
      <c r="AO648" s="16"/>
      <c r="AP648" s="16"/>
      <c r="AQ648" s="16"/>
      <c r="AR648" s="16"/>
      <c r="AS648" s="16"/>
    </row>
    <row r="649" spans="1:45" s="8" customFormat="1" x14ac:dyDescent="0.35">
      <c r="A649" s="16"/>
      <c r="B649" s="16"/>
      <c r="C649" s="16"/>
      <c r="D649" s="16"/>
      <c r="E649" s="16"/>
      <c r="F649" s="16"/>
      <c r="G649" s="16"/>
      <c r="H649" s="16"/>
      <c r="I649" s="16"/>
      <c r="J649" s="16"/>
      <c r="K649" s="16"/>
      <c r="L649" s="16"/>
      <c r="M649" s="16"/>
      <c r="AH649" s="16"/>
      <c r="AI649" s="16"/>
      <c r="AJ649" s="16"/>
      <c r="AK649" s="16"/>
      <c r="AL649" s="16"/>
      <c r="AM649" s="16"/>
      <c r="AN649" s="16"/>
      <c r="AO649" s="16"/>
      <c r="AP649" s="16"/>
      <c r="AQ649" s="16"/>
      <c r="AR649" s="16"/>
      <c r="AS649" s="16"/>
    </row>
    <row r="650" spans="1:45" s="8" customFormat="1" x14ac:dyDescent="0.35">
      <c r="A650" s="16"/>
      <c r="B650" s="16"/>
      <c r="C650" s="16"/>
      <c r="D650" s="16"/>
      <c r="E650" s="16"/>
      <c r="F650" s="16"/>
      <c r="G650" s="16"/>
      <c r="H650" s="16"/>
      <c r="I650" s="16"/>
      <c r="J650" s="16"/>
      <c r="K650" s="16"/>
      <c r="L650" s="16"/>
      <c r="M650" s="16"/>
      <c r="AH650" s="16"/>
      <c r="AI650" s="16"/>
      <c r="AJ650" s="16"/>
      <c r="AK650" s="16"/>
      <c r="AL650" s="16"/>
      <c r="AM650" s="16"/>
      <c r="AN650" s="16"/>
      <c r="AO650" s="16"/>
      <c r="AP650" s="16"/>
      <c r="AQ650" s="16"/>
      <c r="AR650" s="16"/>
      <c r="AS650" s="16"/>
    </row>
    <row r="651" spans="1:45" s="8" customFormat="1" x14ac:dyDescent="0.35">
      <c r="A651" s="16"/>
      <c r="B651" s="16"/>
      <c r="C651" s="16"/>
      <c r="D651" s="16"/>
      <c r="E651" s="16"/>
      <c r="F651" s="16"/>
      <c r="G651" s="16"/>
      <c r="H651" s="16"/>
      <c r="I651" s="16"/>
      <c r="J651" s="16"/>
      <c r="K651" s="16"/>
      <c r="L651" s="16"/>
      <c r="M651" s="16"/>
      <c r="AH651" s="16"/>
      <c r="AI651" s="16"/>
      <c r="AJ651" s="16"/>
      <c r="AK651" s="16"/>
      <c r="AL651" s="16"/>
      <c r="AM651" s="16"/>
      <c r="AN651" s="16"/>
      <c r="AO651" s="16"/>
      <c r="AP651" s="16"/>
      <c r="AQ651" s="16"/>
      <c r="AR651" s="16"/>
      <c r="AS651" s="16"/>
    </row>
    <row r="652" spans="1:45" s="8" customFormat="1" x14ac:dyDescent="0.35">
      <c r="A652" s="16"/>
      <c r="B652" s="16"/>
      <c r="C652" s="16"/>
      <c r="D652" s="16"/>
      <c r="E652" s="16"/>
      <c r="F652" s="16"/>
      <c r="G652" s="16"/>
      <c r="H652" s="16"/>
      <c r="I652" s="16"/>
      <c r="J652" s="16"/>
      <c r="K652" s="16"/>
      <c r="L652" s="16"/>
      <c r="M652" s="16"/>
      <c r="AH652" s="16"/>
      <c r="AI652" s="16"/>
      <c r="AJ652" s="16"/>
      <c r="AK652" s="16"/>
      <c r="AL652" s="16"/>
      <c r="AM652" s="16"/>
      <c r="AN652" s="16"/>
      <c r="AO652" s="16"/>
      <c r="AP652" s="16"/>
      <c r="AQ652" s="16"/>
      <c r="AR652" s="16"/>
      <c r="AS652" s="16"/>
    </row>
    <row r="653" spans="1:45" s="8" customFormat="1" x14ac:dyDescent="0.35">
      <c r="A653" s="16"/>
      <c r="B653" s="16"/>
      <c r="C653" s="16"/>
      <c r="D653" s="16"/>
      <c r="E653" s="16"/>
      <c r="F653" s="16"/>
      <c r="G653" s="16"/>
      <c r="H653" s="16"/>
      <c r="I653" s="16"/>
      <c r="J653" s="16"/>
      <c r="K653" s="16"/>
      <c r="L653" s="16"/>
      <c r="M653" s="16"/>
      <c r="AH653" s="16"/>
      <c r="AI653" s="16"/>
      <c r="AJ653" s="16"/>
      <c r="AK653" s="16"/>
      <c r="AL653" s="16"/>
      <c r="AM653" s="16"/>
      <c r="AN653" s="16"/>
      <c r="AO653" s="16"/>
      <c r="AP653" s="16"/>
      <c r="AQ653" s="16"/>
      <c r="AR653" s="16"/>
      <c r="AS653" s="16"/>
    </row>
    <row r="654" spans="1:45" s="8" customFormat="1" x14ac:dyDescent="0.35">
      <c r="A654" s="16"/>
      <c r="B654" s="16"/>
      <c r="C654" s="16"/>
      <c r="D654" s="16"/>
      <c r="E654" s="16"/>
      <c r="F654" s="16"/>
      <c r="G654" s="16"/>
      <c r="H654" s="16"/>
      <c r="I654" s="16"/>
      <c r="J654" s="16"/>
      <c r="K654" s="16"/>
      <c r="L654" s="16"/>
      <c r="M654" s="16"/>
      <c r="AH654" s="16"/>
      <c r="AI654" s="16"/>
      <c r="AJ654" s="16"/>
      <c r="AK654" s="16"/>
      <c r="AL654" s="16"/>
      <c r="AM654" s="16"/>
      <c r="AN654" s="16"/>
      <c r="AO654" s="16"/>
      <c r="AP654" s="16"/>
      <c r="AQ654" s="16"/>
      <c r="AR654" s="16"/>
      <c r="AS654" s="16"/>
    </row>
    <row r="655" spans="1:45" s="8" customFormat="1" x14ac:dyDescent="0.35">
      <c r="A655" s="16"/>
      <c r="B655" s="16"/>
      <c r="C655" s="16"/>
      <c r="D655" s="16"/>
      <c r="E655" s="16"/>
      <c r="F655" s="16"/>
      <c r="G655" s="16"/>
      <c r="H655" s="16"/>
      <c r="I655" s="16"/>
      <c r="J655" s="16"/>
      <c r="K655" s="16"/>
      <c r="L655" s="16"/>
      <c r="M655" s="16"/>
      <c r="AH655" s="16"/>
      <c r="AI655" s="16"/>
      <c r="AJ655" s="16"/>
      <c r="AK655" s="16"/>
      <c r="AL655" s="16"/>
      <c r="AM655" s="16"/>
      <c r="AN655" s="16"/>
      <c r="AO655" s="16"/>
      <c r="AP655" s="16"/>
      <c r="AQ655" s="16"/>
      <c r="AR655" s="16"/>
      <c r="AS655" s="16"/>
    </row>
    <row r="656" spans="1:45" s="8" customFormat="1" x14ac:dyDescent="0.35">
      <c r="A656" s="16"/>
      <c r="B656" s="16"/>
      <c r="C656" s="16"/>
      <c r="D656" s="16"/>
      <c r="E656" s="16"/>
      <c r="F656" s="16"/>
      <c r="G656" s="16"/>
      <c r="H656" s="16"/>
      <c r="I656" s="16"/>
      <c r="J656" s="16"/>
      <c r="K656" s="16"/>
      <c r="L656" s="16"/>
      <c r="M656" s="16"/>
      <c r="AH656" s="16"/>
      <c r="AI656" s="16"/>
      <c r="AJ656" s="16"/>
      <c r="AK656" s="16"/>
      <c r="AL656" s="16"/>
      <c r="AM656" s="16"/>
      <c r="AN656" s="16"/>
      <c r="AO656" s="16"/>
      <c r="AP656" s="16"/>
      <c r="AQ656" s="16"/>
      <c r="AR656" s="16"/>
      <c r="AS656" s="16"/>
    </row>
    <row r="657" spans="1:45" s="8" customFormat="1" x14ac:dyDescent="0.35">
      <c r="A657" s="16"/>
      <c r="B657" s="16"/>
      <c r="C657" s="16"/>
      <c r="D657" s="16"/>
      <c r="E657" s="16"/>
      <c r="F657" s="16"/>
      <c r="G657" s="16"/>
      <c r="H657" s="16"/>
      <c r="I657" s="16"/>
      <c r="J657" s="16"/>
      <c r="K657" s="16"/>
      <c r="L657" s="16"/>
      <c r="M657" s="16"/>
      <c r="AH657" s="16"/>
      <c r="AI657" s="16"/>
      <c r="AJ657" s="16"/>
      <c r="AK657" s="16"/>
      <c r="AL657" s="16"/>
      <c r="AM657" s="16"/>
      <c r="AN657" s="16"/>
      <c r="AO657" s="16"/>
      <c r="AP657" s="16"/>
      <c r="AQ657" s="16"/>
      <c r="AR657" s="16"/>
      <c r="AS657" s="16"/>
    </row>
    <row r="658" spans="1:45" s="8" customFormat="1" x14ac:dyDescent="0.35">
      <c r="A658" s="16"/>
      <c r="B658" s="16"/>
      <c r="C658" s="16"/>
      <c r="D658" s="16"/>
      <c r="E658" s="16"/>
      <c r="F658" s="16"/>
      <c r="G658" s="16"/>
      <c r="H658" s="16"/>
      <c r="I658" s="16"/>
      <c r="J658" s="16"/>
      <c r="K658" s="16"/>
      <c r="L658" s="16"/>
      <c r="M658" s="16"/>
      <c r="AH658" s="16"/>
      <c r="AI658" s="16"/>
      <c r="AJ658" s="16"/>
      <c r="AK658" s="16"/>
      <c r="AL658" s="16"/>
      <c r="AM658" s="16"/>
      <c r="AN658" s="16"/>
      <c r="AO658" s="16"/>
      <c r="AP658" s="16"/>
      <c r="AQ658" s="16"/>
      <c r="AR658" s="16"/>
      <c r="AS658" s="16"/>
    </row>
    <row r="659" spans="1:45" s="8" customFormat="1" x14ac:dyDescent="0.35">
      <c r="A659" s="16"/>
      <c r="B659" s="16"/>
      <c r="C659" s="16"/>
      <c r="D659" s="16"/>
      <c r="E659" s="16"/>
      <c r="F659" s="16"/>
      <c r="G659" s="16"/>
      <c r="H659" s="16"/>
      <c r="I659" s="16"/>
      <c r="J659" s="16"/>
      <c r="K659" s="16"/>
      <c r="L659" s="16"/>
      <c r="M659" s="16"/>
      <c r="AH659" s="16"/>
      <c r="AI659" s="16"/>
      <c r="AJ659" s="16"/>
      <c r="AK659" s="16"/>
      <c r="AL659" s="16"/>
      <c r="AM659" s="16"/>
      <c r="AN659" s="16"/>
      <c r="AO659" s="16"/>
      <c r="AP659" s="16"/>
      <c r="AQ659" s="16"/>
      <c r="AR659" s="16"/>
      <c r="AS659" s="16"/>
    </row>
    <row r="660" spans="1:45" s="8" customFormat="1" x14ac:dyDescent="0.35">
      <c r="A660" s="16"/>
      <c r="B660" s="16"/>
      <c r="C660" s="16"/>
      <c r="D660" s="16"/>
      <c r="E660" s="16"/>
      <c r="F660" s="16"/>
      <c r="G660" s="16"/>
      <c r="H660" s="16"/>
      <c r="I660" s="16"/>
      <c r="J660" s="16"/>
      <c r="K660" s="16"/>
      <c r="L660" s="16"/>
      <c r="M660" s="16"/>
      <c r="AH660" s="16"/>
      <c r="AI660" s="16"/>
      <c r="AJ660" s="16"/>
      <c r="AK660" s="16"/>
      <c r="AL660" s="16"/>
      <c r="AM660" s="16"/>
      <c r="AN660" s="16"/>
      <c r="AO660" s="16"/>
      <c r="AP660" s="16"/>
      <c r="AQ660" s="16"/>
      <c r="AR660" s="16"/>
      <c r="AS660" s="16"/>
    </row>
    <row r="661" spans="1:45" s="8" customFormat="1" x14ac:dyDescent="0.35">
      <c r="A661" s="16"/>
      <c r="B661" s="16"/>
      <c r="C661" s="16"/>
      <c r="D661" s="16"/>
      <c r="E661" s="16"/>
      <c r="F661" s="16"/>
      <c r="G661" s="16"/>
      <c r="H661" s="16"/>
      <c r="I661" s="16"/>
      <c r="J661" s="16"/>
      <c r="K661" s="16"/>
      <c r="L661" s="16"/>
      <c r="M661" s="16"/>
      <c r="AH661" s="16"/>
      <c r="AI661" s="16"/>
      <c r="AJ661" s="16"/>
      <c r="AK661" s="16"/>
      <c r="AL661" s="16"/>
      <c r="AM661" s="16"/>
      <c r="AN661" s="16"/>
      <c r="AO661" s="16"/>
      <c r="AP661" s="16"/>
      <c r="AQ661" s="16"/>
      <c r="AR661" s="16"/>
      <c r="AS661" s="16"/>
    </row>
    <row r="662" spans="1:45" s="8" customFormat="1" x14ac:dyDescent="0.35">
      <c r="A662" s="16"/>
      <c r="B662" s="16"/>
      <c r="C662" s="16"/>
      <c r="D662" s="16"/>
      <c r="E662" s="16"/>
      <c r="F662" s="16"/>
      <c r="G662" s="16"/>
      <c r="H662" s="16"/>
      <c r="I662" s="16"/>
      <c r="J662" s="16"/>
      <c r="K662" s="16"/>
      <c r="L662" s="16"/>
      <c r="M662" s="16"/>
      <c r="AH662" s="16"/>
      <c r="AI662" s="16"/>
      <c r="AJ662" s="16"/>
      <c r="AK662" s="16"/>
      <c r="AL662" s="16"/>
      <c r="AM662" s="16"/>
      <c r="AN662" s="16"/>
      <c r="AO662" s="16"/>
      <c r="AP662" s="16"/>
      <c r="AQ662" s="16"/>
      <c r="AR662" s="16"/>
      <c r="AS662" s="16"/>
    </row>
    <row r="663" spans="1:45" s="8" customFormat="1" x14ac:dyDescent="0.35">
      <c r="A663" s="16"/>
      <c r="B663" s="16"/>
      <c r="C663" s="16"/>
      <c r="D663" s="16"/>
      <c r="E663" s="16"/>
      <c r="F663" s="16"/>
      <c r="G663" s="16"/>
      <c r="H663" s="16"/>
      <c r="I663" s="16"/>
      <c r="J663" s="16"/>
      <c r="K663" s="16"/>
      <c r="L663" s="16"/>
      <c r="M663" s="16"/>
      <c r="AH663" s="16"/>
      <c r="AI663" s="16"/>
      <c r="AJ663" s="16"/>
      <c r="AK663" s="16"/>
      <c r="AL663" s="16"/>
      <c r="AM663" s="16"/>
      <c r="AN663" s="16"/>
      <c r="AO663" s="16"/>
      <c r="AP663" s="16"/>
      <c r="AQ663" s="16"/>
      <c r="AR663" s="16"/>
      <c r="AS663" s="16"/>
    </row>
    <row r="664" spans="1:45" s="8" customFormat="1" x14ac:dyDescent="0.35">
      <c r="A664" s="16"/>
      <c r="B664" s="16"/>
      <c r="C664" s="16"/>
      <c r="D664" s="16"/>
      <c r="E664" s="16"/>
      <c r="F664" s="16"/>
      <c r="G664" s="16"/>
      <c r="H664" s="16"/>
      <c r="I664" s="16"/>
      <c r="J664" s="16"/>
      <c r="K664" s="16"/>
      <c r="L664" s="16"/>
      <c r="M664" s="16"/>
      <c r="AH664" s="16"/>
      <c r="AI664" s="16"/>
      <c r="AJ664" s="16"/>
      <c r="AK664" s="16"/>
      <c r="AL664" s="16"/>
      <c r="AM664" s="16"/>
      <c r="AN664" s="16"/>
      <c r="AO664" s="16"/>
      <c r="AP664" s="16"/>
      <c r="AQ664" s="16"/>
      <c r="AR664" s="16"/>
      <c r="AS664" s="16"/>
    </row>
    <row r="665" spans="1:45" s="8" customFormat="1" x14ac:dyDescent="0.35">
      <c r="A665" s="16"/>
      <c r="B665" s="16"/>
      <c r="C665" s="16"/>
      <c r="D665" s="16"/>
      <c r="E665" s="16"/>
      <c r="F665" s="16"/>
      <c r="G665" s="16"/>
      <c r="H665" s="16"/>
      <c r="I665" s="16"/>
      <c r="J665" s="16"/>
      <c r="K665" s="16"/>
      <c r="L665" s="16"/>
      <c r="M665" s="16"/>
      <c r="AH665" s="16"/>
      <c r="AI665" s="16"/>
      <c r="AJ665" s="16"/>
      <c r="AK665" s="16"/>
      <c r="AL665" s="16"/>
      <c r="AM665" s="16"/>
      <c r="AN665" s="16"/>
      <c r="AO665" s="16"/>
      <c r="AP665" s="16"/>
      <c r="AQ665" s="16"/>
      <c r="AR665" s="16"/>
      <c r="AS665" s="16"/>
    </row>
    <row r="666" spans="1:45" s="8" customFormat="1" x14ac:dyDescent="0.35">
      <c r="A666" s="16"/>
      <c r="B666" s="16"/>
      <c r="C666" s="16"/>
      <c r="D666" s="16"/>
      <c r="E666" s="16"/>
      <c r="F666" s="16"/>
      <c r="G666" s="16"/>
      <c r="H666" s="16"/>
      <c r="I666" s="16"/>
      <c r="J666" s="16"/>
      <c r="K666" s="16"/>
      <c r="L666" s="16"/>
      <c r="M666" s="16"/>
      <c r="AH666" s="16"/>
      <c r="AI666" s="16"/>
      <c r="AJ666" s="16"/>
      <c r="AK666" s="16"/>
      <c r="AL666" s="16"/>
      <c r="AM666" s="16"/>
      <c r="AN666" s="16"/>
      <c r="AO666" s="16"/>
      <c r="AP666" s="16"/>
      <c r="AQ666" s="16"/>
      <c r="AR666" s="16"/>
      <c r="AS666" s="16"/>
    </row>
    <row r="667" spans="1:45" s="8" customFormat="1" x14ac:dyDescent="0.35">
      <c r="A667" s="16"/>
      <c r="B667" s="16"/>
      <c r="C667" s="16"/>
      <c r="D667" s="16"/>
      <c r="E667" s="16"/>
      <c r="F667" s="16"/>
      <c r="G667" s="16"/>
      <c r="H667" s="16"/>
      <c r="I667" s="16"/>
      <c r="J667" s="16"/>
      <c r="K667" s="16"/>
      <c r="L667" s="16"/>
      <c r="M667" s="16"/>
      <c r="AH667" s="16"/>
      <c r="AI667" s="16"/>
      <c r="AJ667" s="16"/>
      <c r="AK667" s="16"/>
      <c r="AL667" s="16"/>
      <c r="AM667" s="16"/>
      <c r="AN667" s="16"/>
      <c r="AO667" s="16"/>
      <c r="AP667" s="16"/>
      <c r="AQ667" s="16"/>
      <c r="AR667" s="16"/>
      <c r="AS667" s="16"/>
    </row>
    <row r="668" spans="1:45" s="8" customFormat="1" x14ac:dyDescent="0.35">
      <c r="A668" s="16"/>
      <c r="B668" s="16"/>
      <c r="C668" s="16"/>
      <c r="D668" s="16"/>
      <c r="E668" s="16"/>
      <c r="F668" s="16"/>
      <c r="G668" s="16"/>
      <c r="H668" s="16"/>
      <c r="I668" s="16"/>
      <c r="J668" s="16"/>
      <c r="K668" s="16"/>
      <c r="L668" s="16"/>
      <c r="M668" s="16"/>
      <c r="AH668" s="16"/>
      <c r="AI668" s="16"/>
      <c r="AJ668" s="16"/>
      <c r="AK668" s="16"/>
      <c r="AL668" s="16"/>
      <c r="AM668" s="16"/>
      <c r="AN668" s="16"/>
      <c r="AO668" s="16"/>
      <c r="AP668" s="16"/>
      <c r="AQ668" s="16"/>
      <c r="AR668" s="16"/>
      <c r="AS668" s="16"/>
    </row>
    <row r="669" spans="1:45" s="8" customFormat="1" x14ac:dyDescent="0.35">
      <c r="A669" s="16"/>
      <c r="B669" s="16"/>
      <c r="C669" s="16"/>
      <c r="D669" s="16"/>
      <c r="E669" s="16"/>
      <c r="F669" s="16"/>
      <c r="G669" s="16"/>
      <c r="H669" s="16"/>
      <c r="I669" s="16"/>
      <c r="J669" s="16"/>
      <c r="K669" s="16"/>
      <c r="L669" s="16"/>
      <c r="M669" s="16"/>
      <c r="AH669" s="16"/>
      <c r="AI669" s="16"/>
      <c r="AJ669" s="16"/>
      <c r="AK669" s="16"/>
      <c r="AL669" s="16"/>
      <c r="AM669" s="16"/>
      <c r="AN669" s="16"/>
      <c r="AO669" s="16"/>
      <c r="AP669" s="16"/>
      <c r="AQ669" s="16"/>
      <c r="AR669" s="16"/>
      <c r="AS669" s="16"/>
    </row>
    <row r="670" spans="1:45" s="8" customFormat="1" x14ac:dyDescent="0.35">
      <c r="A670" s="16"/>
      <c r="B670" s="16"/>
      <c r="C670" s="16"/>
      <c r="D670" s="16"/>
      <c r="E670" s="16"/>
      <c r="F670" s="16"/>
      <c r="G670" s="16"/>
      <c r="H670" s="16"/>
      <c r="I670" s="16"/>
      <c r="J670" s="16"/>
      <c r="K670" s="16"/>
      <c r="L670" s="16"/>
      <c r="M670" s="16"/>
      <c r="AH670" s="16"/>
      <c r="AI670" s="16"/>
      <c r="AJ670" s="16"/>
      <c r="AK670" s="16"/>
      <c r="AL670" s="16"/>
      <c r="AM670" s="16"/>
      <c r="AN670" s="16"/>
      <c r="AO670" s="16"/>
      <c r="AP670" s="16"/>
      <c r="AQ670" s="16"/>
      <c r="AR670" s="16"/>
      <c r="AS670" s="16"/>
    </row>
    <row r="671" spans="1:45" s="8" customFormat="1" x14ac:dyDescent="0.35">
      <c r="A671" s="16"/>
      <c r="B671" s="16"/>
      <c r="C671" s="16"/>
      <c r="D671" s="16"/>
      <c r="E671" s="16"/>
      <c r="F671" s="16"/>
      <c r="G671" s="16"/>
      <c r="H671" s="16"/>
      <c r="I671" s="16"/>
      <c r="J671" s="16"/>
      <c r="K671" s="16"/>
      <c r="L671" s="16"/>
      <c r="M671" s="16"/>
      <c r="AH671" s="16"/>
      <c r="AI671" s="16"/>
      <c r="AJ671" s="16"/>
      <c r="AK671" s="16"/>
      <c r="AL671" s="16"/>
      <c r="AM671" s="16"/>
      <c r="AN671" s="16"/>
      <c r="AO671" s="16"/>
      <c r="AP671" s="16"/>
      <c r="AQ671" s="16"/>
      <c r="AR671" s="16"/>
      <c r="AS671" s="16"/>
    </row>
    <row r="672" spans="1:45" s="8" customFormat="1" x14ac:dyDescent="0.35">
      <c r="A672" s="16"/>
      <c r="B672" s="16"/>
      <c r="C672" s="16"/>
      <c r="D672" s="16"/>
      <c r="E672" s="16"/>
      <c r="F672" s="16"/>
      <c r="G672" s="16"/>
      <c r="H672" s="16"/>
      <c r="I672" s="16"/>
      <c r="J672" s="16"/>
      <c r="K672" s="16"/>
      <c r="L672" s="16"/>
      <c r="M672" s="16"/>
      <c r="AH672" s="16"/>
      <c r="AI672" s="16"/>
      <c r="AJ672" s="16"/>
      <c r="AK672" s="16"/>
      <c r="AL672" s="16"/>
      <c r="AM672" s="16"/>
      <c r="AN672" s="16"/>
      <c r="AO672" s="16"/>
      <c r="AP672" s="16"/>
      <c r="AQ672" s="16"/>
      <c r="AR672" s="16"/>
      <c r="AS672" s="16"/>
    </row>
    <row r="673" spans="1:45" s="8" customFormat="1" x14ac:dyDescent="0.35">
      <c r="A673" s="16"/>
      <c r="B673" s="16"/>
      <c r="C673" s="16"/>
      <c r="D673" s="16"/>
      <c r="E673" s="16"/>
      <c r="F673" s="16"/>
      <c r="G673" s="16"/>
      <c r="H673" s="16"/>
      <c r="I673" s="16"/>
      <c r="J673" s="16"/>
      <c r="K673" s="16"/>
      <c r="L673" s="16"/>
      <c r="M673" s="16"/>
      <c r="AH673" s="16"/>
      <c r="AI673" s="16"/>
      <c r="AJ673" s="16"/>
      <c r="AK673" s="16"/>
      <c r="AL673" s="16"/>
      <c r="AM673" s="16"/>
      <c r="AN673" s="16"/>
      <c r="AO673" s="16"/>
      <c r="AP673" s="16"/>
      <c r="AQ673" s="16"/>
      <c r="AR673" s="16"/>
      <c r="AS673" s="16"/>
    </row>
    <row r="674" spans="1:45" s="8" customFormat="1" x14ac:dyDescent="0.35">
      <c r="A674" s="16"/>
      <c r="B674" s="16"/>
      <c r="C674" s="16"/>
      <c r="D674" s="16"/>
      <c r="E674" s="16"/>
      <c r="F674" s="16"/>
      <c r="G674" s="16"/>
      <c r="H674" s="16"/>
      <c r="I674" s="16"/>
      <c r="J674" s="16"/>
      <c r="K674" s="16"/>
      <c r="L674" s="16"/>
      <c r="M674" s="16"/>
      <c r="AH674" s="16"/>
      <c r="AI674" s="16"/>
      <c r="AJ674" s="16"/>
      <c r="AK674" s="16"/>
      <c r="AL674" s="16"/>
      <c r="AM674" s="16"/>
      <c r="AN674" s="16"/>
      <c r="AO674" s="16"/>
      <c r="AP674" s="16"/>
      <c r="AQ674" s="16"/>
      <c r="AR674" s="16"/>
      <c r="AS674" s="16"/>
    </row>
    <row r="675" spans="1:45" s="8" customFormat="1" x14ac:dyDescent="0.35">
      <c r="A675" s="16"/>
      <c r="B675" s="16"/>
      <c r="C675" s="16"/>
      <c r="D675" s="16"/>
      <c r="E675" s="16"/>
      <c r="F675" s="16"/>
      <c r="G675" s="16"/>
      <c r="H675" s="16"/>
      <c r="I675" s="16"/>
      <c r="J675" s="16"/>
      <c r="K675" s="16"/>
      <c r="L675" s="16"/>
      <c r="M675" s="16"/>
      <c r="AH675" s="16"/>
      <c r="AI675" s="16"/>
      <c r="AJ675" s="16"/>
      <c r="AK675" s="16"/>
      <c r="AL675" s="16"/>
      <c r="AM675" s="16"/>
      <c r="AN675" s="16"/>
      <c r="AO675" s="16"/>
      <c r="AP675" s="16"/>
      <c r="AQ675" s="16"/>
      <c r="AR675" s="16"/>
      <c r="AS675" s="16"/>
    </row>
    <row r="676" spans="1:45" s="8" customFormat="1" x14ac:dyDescent="0.35">
      <c r="A676" s="16"/>
      <c r="B676" s="16"/>
      <c r="C676" s="16"/>
      <c r="D676" s="16"/>
      <c r="E676" s="16"/>
      <c r="F676" s="16"/>
      <c r="G676" s="16"/>
      <c r="H676" s="16"/>
      <c r="I676" s="16"/>
      <c r="J676" s="16"/>
      <c r="K676" s="16"/>
      <c r="L676" s="16"/>
      <c r="M676" s="16"/>
      <c r="AH676" s="16"/>
      <c r="AI676" s="16"/>
      <c r="AJ676" s="16"/>
      <c r="AK676" s="16"/>
      <c r="AL676" s="16"/>
      <c r="AM676" s="16"/>
      <c r="AN676" s="16"/>
      <c r="AO676" s="16"/>
      <c r="AP676" s="16"/>
      <c r="AQ676" s="16"/>
      <c r="AR676" s="16"/>
      <c r="AS676" s="16"/>
    </row>
    <row r="677" spans="1:45" s="8" customFormat="1" x14ac:dyDescent="0.35">
      <c r="A677" s="16"/>
      <c r="B677" s="16"/>
      <c r="C677" s="16"/>
      <c r="D677" s="16"/>
      <c r="E677" s="16"/>
      <c r="F677" s="16"/>
      <c r="G677" s="16"/>
      <c r="H677" s="16"/>
      <c r="I677" s="16"/>
      <c r="J677" s="16"/>
      <c r="K677" s="16"/>
      <c r="L677" s="16"/>
      <c r="M677" s="16"/>
      <c r="AH677" s="16"/>
      <c r="AI677" s="16"/>
      <c r="AJ677" s="16"/>
      <c r="AK677" s="16"/>
      <c r="AL677" s="16"/>
      <c r="AM677" s="16"/>
      <c r="AN677" s="16"/>
      <c r="AO677" s="16"/>
      <c r="AP677" s="16"/>
      <c r="AQ677" s="16"/>
      <c r="AR677" s="16"/>
      <c r="AS677" s="16"/>
    </row>
    <row r="678" spans="1:45" s="8" customFormat="1" x14ac:dyDescent="0.35">
      <c r="A678" s="16"/>
      <c r="B678" s="16"/>
      <c r="C678" s="16"/>
      <c r="D678" s="16"/>
      <c r="E678" s="16"/>
      <c r="F678" s="16"/>
      <c r="G678" s="16"/>
      <c r="H678" s="16"/>
      <c r="I678" s="16"/>
      <c r="J678" s="16"/>
      <c r="K678" s="16"/>
      <c r="L678" s="16"/>
      <c r="M678" s="16"/>
      <c r="AH678" s="16"/>
      <c r="AI678" s="16"/>
      <c r="AJ678" s="16"/>
      <c r="AK678" s="16"/>
      <c r="AL678" s="16"/>
      <c r="AM678" s="16"/>
      <c r="AN678" s="16"/>
      <c r="AO678" s="16"/>
      <c r="AP678" s="16"/>
      <c r="AQ678" s="16"/>
      <c r="AR678" s="16"/>
      <c r="AS678" s="16"/>
    </row>
    <row r="679" spans="1:45" s="8" customFormat="1" x14ac:dyDescent="0.35">
      <c r="A679" s="16"/>
      <c r="B679" s="16"/>
      <c r="C679" s="16"/>
      <c r="D679" s="16"/>
      <c r="E679" s="16"/>
      <c r="F679" s="16"/>
      <c r="G679" s="16"/>
      <c r="H679" s="16"/>
      <c r="I679" s="16"/>
      <c r="J679" s="16"/>
      <c r="K679" s="16"/>
      <c r="L679" s="16"/>
      <c r="M679" s="16"/>
      <c r="AH679" s="16"/>
      <c r="AI679" s="16"/>
      <c r="AJ679" s="16"/>
      <c r="AK679" s="16"/>
      <c r="AL679" s="16"/>
      <c r="AM679" s="16"/>
      <c r="AN679" s="16"/>
      <c r="AO679" s="16"/>
      <c r="AP679" s="16"/>
      <c r="AQ679" s="16"/>
      <c r="AR679" s="16"/>
      <c r="AS679" s="16"/>
    </row>
    <row r="680" spans="1:45" s="8" customFormat="1" x14ac:dyDescent="0.35">
      <c r="A680" s="16"/>
      <c r="B680" s="16"/>
      <c r="C680" s="16"/>
      <c r="D680" s="16"/>
      <c r="E680" s="16"/>
      <c r="F680" s="16"/>
      <c r="G680" s="16"/>
      <c r="H680" s="16"/>
      <c r="I680" s="16"/>
      <c r="J680" s="16"/>
      <c r="K680" s="16"/>
      <c r="L680" s="16"/>
      <c r="M680" s="16"/>
      <c r="AH680" s="16"/>
      <c r="AI680" s="16"/>
      <c r="AJ680" s="16"/>
      <c r="AK680" s="16"/>
      <c r="AL680" s="16"/>
      <c r="AM680" s="16"/>
      <c r="AN680" s="16"/>
      <c r="AO680" s="16"/>
      <c r="AP680" s="16"/>
      <c r="AQ680" s="16"/>
      <c r="AR680" s="16"/>
      <c r="AS680" s="16"/>
    </row>
    <row r="681" spans="1:45" s="8" customFormat="1" x14ac:dyDescent="0.35">
      <c r="A681" s="16"/>
      <c r="B681" s="16"/>
      <c r="C681" s="16"/>
      <c r="D681" s="16"/>
      <c r="E681" s="16"/>
      <c r="F681" s="16"/>
      <c r="G681" s="16"/>
      <c r="H681" s="16"/>
      <c r="I681" s="16"/>
      <c r="J681" s="16"/>
      <c r="K681" s="16"/>
      <c r="L681" s="16"/>
      <c r="M681" s="16"/>
      <c r="AH681" s="16"/>
      <c r="AI681" s="16"/>
      <c r="AJ681" s="16"/>
      <c r="AK681" s="16"/>
      <c r="AL681" s="16"/>
      <c r="AM681" s="16"/>
      <c r="AN681" s="16"/>
      <c r="AO681" s="16"/>
      <c r="AP681" s="16"/>
      <c r="AQ681" s="16"/>
      <c r="AR681" s="16"/>
      <c r="AS681" s="16"/>
    </row>
    <row r="682" spans="1:45" s="8" customFormat="1" x14ac:dyDescent="0.35">
      <c r="A682" s="16"/>
      <c r="B682" s="16"/>
      <c r="C682" s="16"/>
      <c r="D682" s="16"/>
      <c r="E682" s="16"/>
      <c r="F682" s="16"/>
      <c r="G682" s="16"/>
      <c r="H682" s="16"/>
      <c r="I682" s="16"/>
      <c r="J682" s="16"/>
      <c r="K682" s="16"/>
      <c r="L682" s="16"/>
      <c r="M682" s="16"/>
      <c r="AH682" s="16"/>
      <c r="AI682" s="16"/>
      <c r="AJ682" s="16"/>
      <c r="AK682" s="16"/>
      <c r="AL682" s="16"/>
      <c r="AM682" s="16"/>
      <c r="AN682" s="16"/>
      <c r="AO682" s="16"/>
      <c r="AP682" s="16"/>
      <c r="AQ682" s="16"/>
      <c r="AR682" s="16"/>
      <c r="AS682" s="16"/>
    </row>
    <row r="683" spans="1:45" s="8" customFormat="1" x14ac:dyDescent="0.35">
      <c r="A683" s="16"/>
      <c r="B683" s="16"/>
      <c r="C683" s="16"/>
      <c r="D683" s="16"/>
      <c r="E683" s="16"/>
      <c r="F683" s="16"/>
      <c r="G683" s="16"/>
      <c r="H683" s="16"/>
      <c r="I683" s="16"/>
      <c r="J683" s="16"/>
      <c r="K683" s="16"/>
      <c r="L683" s="16"/>
      <c r="M683" s="16"/>
      <c r="AH683" s="16"/>
      <c r="AI683" s="16"/>
      <c r="AJ683" s="16"/>
      <c r="AK683" s="16"/>
      <c r="AL683" s="16"/>
      <c r="AM683" s="16"/>
      <c r="AN683" s="16"/>
      <c r="AO683" s="16"/>
      <c r="AP683" s="16"/>
      <c r="AQ683" s="16"/>
      <c r="AR683" s="16"/>
      <c r="AS683" s="16"/>
    </row>
    <row r="684" spans="1:45" s="8" customFormat="1" x14ac:dyDescent="0.35">
      <c r="A684" s="16"/>
      <c r="B684" s="16"/>
      <c r="C684" s="16"/>
      <c r="D684" s="16"/>
      <c r="E684" s="16"/>
      <c r="F684" s="16"/>
      <c r="G684" s="16"/>
      <c r="H684" s="16"/>
      <c r="I684" s="16"/>
      <c r="J684" s="16"/>
      <c r="K684" s="16"/>
      <c r="L684" s="16"/>
      <c r="M684" s="16"/>
      <c r="AH684" s="16"/>
      <c r="AI684" s="16"/>
      <c r="AJ684" s="16"/>
      <c r="AK684" s="16"/>
      <c r="AL684" s="16"/>
      <c r="AM684" s="16"/>
      <c r="AN684" s="16"/>
      <c r="AO684" s="16"/>
      <c r="AP684" s="16"/>
      <c r="AQ684" s="16"/>
      <c r="AR684" s="16"/>
      <c r="AS684" s="16"/>
    </row>
    <row r="685" spans="1:45" s="8" customFormat="1" x14ac:dyDescent="0.35">
      <c r="A685" s="16"/>
      <c r="B685" s="16"/>
      <c r="C685" s="16"/>
      <c r="D685" s="16"/>
      <c r="E685" s="16"/>
      <c r="F685" s="16"/>
      <c r="G685" s="16"/>
      <c r="H685" s="16"/>
      <c r="I685" s="16"/>
      <c r="J685" s="16"/>
      <c r="K685" s="16"/>
      <c r="L685" s="16"/>
      <c r="M685" s="16"/>
      <c r="AH685" s="16"/>
      <c r="AI685" s="16"/>
      <c r="AJ685" s="16"/>
      <c r="AK685" s="16"/>
      <c r="AL685" s="16"/>
      <c r="AM685" s="16"/>
      <c r="AN685" s="16"/>
      <c r="AO685" s="16"/>
      <c r="AP685" s="16"/>
      <c r="AQ685" s="16"/>
      <c r="AR685" s="16"/>
      <c r="AS685" s="16"/>
    </row>
    <row r="686" spans="1:45" s="8" customFormat="1" x14ac:dyDescent="0.35">
      <c r="A686" s="16"/>
      <c r="B686" s="16"/>
      <c r="C686" s="16"/>
      <c r="D686" s="16"/>
      <c r="E686" s="16"/>
      <c r="F686" s="16"/>
      <c r="G686" s="16"/>
      <c r="H686" s="16"/>
      <c r="I686" s="16"/>
      <c r="J686" s="16"/>
      <c r="K686" s="16"/>
      <c r="L686" s="16"/>
      <c r="M686" s="16"/>
      <c r="AH686" s="16"/>
      <c r="AI686" s="16"/>
      <c r="AJ686" s="16"/>
      <c r="AK686" s="16"/>
      <c r="AL686" s="16"/>
      <c r="AM686" s="16"/>
      <c r="AN686" s="16"/>
      <c r="AO686" s="16"/>
      <c r="AP686" s="16"/>
      <c r="AQ686" s="16"/>
      <c r="AR686" s="16"/>
      <c r="AS686" s="16"/>
    </row>
    <row r="687" spans="1:45" s="8" customFormat="1" x14ac:dyDescent="0.35">
      <c r="A687" s="16"/>
      <c r="B687" s="16"/>
      <c r="C687" s="16"/>
      <c r="D687" s="16"/>
      <c r="E687" s="16"/>
      <c r="F687" s="16"/>
      <c r="G687" s="16"/>
      <c r="H687" s="16"/>
      <c r="I687" s="16"/>
      <c r="J687" s="16"/>
      <c r="K687" s="16"/>
      <c r="L687" s="16"/>
      <c r="M687" s="16"/>
      <c r="AH687" s="16"/>
      <c r="AI687" s="16"/>
      <c r="AJ687" s="16"/>
      <c r="AK687" s="16"/>
      <c r="AL687" s="16"/>
      <c r="AM687" s="16"/>
      <c r="AN687" s="16"/>
      <c r="AO687" s="16"/>
      <c r="AP687" s="16"/>
      <c r="AQ687" s="16"/>
      <c r="AR687" s="16"/>
      <c r="AS687" s="16"/>
    </row>
    <row r="688" spans="1:45" s="8" customFormat="1" x14ac:dyDescent="0.35">
      <c r="A688" s="16"/>
      <c r="B688" s="16"/>
      <c r="C688" s="16"/>
      <c r="D688" s="16"/>
      <c r="E688" s="16"/>
      <c r="F688" s="16"/>
      <c r="G688" s="16"/>
      <c r="H688" s="16"/>
      <c r="I688" s="16"/>
      <c r="J688" s="16"/>
      <c r="K688" s="16"/>
      <c r="L688" s="16"/>
      <c r="M688" s="16"/>
      <c r="AH688" s="16"/>
      <c r="AI688" s="16"/>
      <c r="AJ688" s="16"/>
      <c r="AK688" s="16"/>
      <c r="AL688" s="16"/>
      <c r="AM688" s="16"/>
      <c r="AN688" s="16"/>
      <c r="AO688" s="16"/>
      <c r="AP688" s="16"/>
      <c r="AQ688" s="16"/>
      <c r="AR688" s="16"/>
      <c r="AS688" s="16"/>
    </row>
    <row r="689" spans="1:45" s="8" customFormat="1" x14ac:dyDescent="0.35">
      <c r="A689" s="16"/>
      <c r="B689" s="16"/>
      <c r="C689" s="16"/>
      <c r="D689" s="16"/>
      <c r="E689" s="16"/>
      <c r="F689" s="16"/>
      <c r="G689" s="16"/>
      <c r="H689" s="16"/>
      <c r="I689" s="16"/>
      <c r="J689" s="16"/>
      <c r="K689" s="16"/>
      <c r="L689" s="16"/>
      <c r="M689" s="16"/>
      <c r="AH689" s="16"/>
      <c r="AI689" s="16"/>
      <c r="AJ689" s="16"/>
      <c r="AK689" s="16"/>
      <c r="AL689" s="16"/>
      <c r="AM689" s="16"/>
      <c r="AN689" s="16"/>
      <c r="AO689" s="16"/>
      <c r="AP689" s="16"/>
      <c r="AQ689" s="16"/>
      <c r="AR689" s="16"/>
      <c r="AS689" s="16"/>
    </row>
    <row r="690" spans="1:45" s="8" customFormat="1" x14ac:dyDescent="0.35">
      <c r="A690" s="16"/>
      <c r="B690" s="16"/>
      <c r="C690" s="16"/>
      <c r="D690" s="16"/>
      <c r="E690" s="16"/>
      <c r="F690" s="16"/>
      <c r="G690" s="16"/>
      <c r="H690" s="16"/>
      <c r="I690" s="16"/>
      <c r="J690" s="16"/>
      <c r="K690" s="16"/>
      <c r="L690" s="16"/>
      <c r="M690" s="16"/>
      <c r="AH690" s="16"/>
      <c r="AI690" s="16"/>
      <c r="AJ690" s="16"/>
      <c r="AK690" s="16"/>
      <c r="AL690" s="16"/>
      <c r="AM690" s="16"/>
      <c r="AN690" s="16"/>
      <c r="AO690" s="16"/>
      <c r="AP690" s="16"/>
      <c r="AQ690" s="16"/>
      <c r="AR690" s="16"/>
      <c r="AS690" s="16"/>
    </row>
    <row r="691" spans="1:45" s="8" customFormat="1" x14ac:dyDescent="0.35">
      <c r="A691" s="16"/>
      <c r="B691" s="16"/>
      <c r="C691" s="16"/>
      <c r="D691" s="16"/>
      <c r="E691" s="16"/>
      <c r="F691" s="16"/>
      <c r="G691" s="16"/>
      <c r="H691" s="16"/>
      <c r="I691" s="16"/>
      <c r="J691" s="16"/>
      <c r="K691" s="16"/>
      <c r="L691" s="16"/>
      <c r="M691" s="16"/>
      <c r="AH691" s="16"/>
      <c r="AI691" s="16"/>
      <c r="AJ691" s="16"/>
      <c r="AK691" s="16"/>
      <c r="AL691" s="16"/>
      <c r="AM691" s="16"/>
      <c r="AN691" s="16"/>
      <c r="AO691" s="16"/>
      <c r="AP691" s="16"/>
      <c r="AQ691" s="16"/>
      <c r="AR691" s="16"/>
      <c r="AS691" s="16"/>
    </row>
    <row r="692" spans="1:45" s="8" customFormat="1" x14ac:dyDescent="0.35">
      <c r="A692" s="16"/>
      <c r="B692" s="16"/>
      <c r="C692" s="16"/>
      <c r="D692" s="16"/>
      <c r="E692" s="16"/>
      <c r="F692" s="16"/>
      <c r="G692" s="16"/>
      <c r="H692" s="16"/>
      <c r="I692" s="16"/>
      <c r="J692" s="16"/>
      <c r="K692" s="16"/>
      <c r="L692" s="16"/>
      <c r="M692" s="16"/>
      <c r="AH692" s="16"/>
      <c r="AI692" s="16"/>
      <c r="AJ692" s="16"/>
      <c r="AK692" s="16"/>
      <c r="AL692" s="16"/>
      <c r="AM692" s="16"/>
      <c r="AN692" s="16"/>
      <c r="AO692" s="16"/>
      <c r="AP692" s="16"/>
      <c r="AQ692" s="16"/>
      <c r="AR692" s="16"/>
      <c r="AS692" s="16"/>
    </row>
    <row r="693" spans="1:45" s="8" customFormat="1" x14ac:dyDescent="0.35">
      <c r="A693" s="16"/>
      <c r="B693" s="16"/>
      <c r="C693" s="16"/>
      <c r="D693" s="16"/>
      <c r="E693" s="16"/>
      <c r="F693" s="16"/>
      <c r="G693" s="16"/>
      <c r="H693" s="16"/>
      <c r="I693" s="16"/>
      <c r="J693" s="16"/>
      <c r="K693" s="16"/>
      <c r="L693" s="16"/>
      <c r="M693" s="16"/>
      <c r="AH693" s="16"/>
      <c r="AI693" s="16"/>
      <c r="AJ693" s="16"/>
      <c r="AK693" s="16"/>
      <c r="AL693" s="16"/>
      <c r="AM693" s="16"/>
      <c r="AN693" s="16"/>
      <c r="AO693" s="16"/>
      <c r="AP693" s="16"/>
      <c r="AQ693" s="16"/>
      <c r="AR693" s="16"/>
      <c r="AS693" s="16"/>
    </row>
    <row r="694" spans="1:45" s="8" customFormat="1" x14ac:dyDescent="0.35">
      <c r="A694" s="16"/>
      <c r="B694" s="16"/>
      <c r="C694" s="16"/>
      <c r="D694" s="16"/>
      <c r="E694" s="16"/>
      <c r="F694" s="16"/>
      <c r="G694" s="16"/>
      <c r="H694" s="16"/>
      <c r="I694" s="16"/>
      <c r="J694" s="16"/>
      <c r="K694" s="16"/>
      <c r="L694" s="16"/>
      <c r="M694" s="16"/>
      <c r="AH694" s="16"/>
      <c r="AI694" s="16"/>
      <c r="AJ694" s="16"/>
      <c r="AK694" s="16"/>
      <c r="AL694" s="16"/>
      <c r="AM694" s="16"/>
      <c r="AN694" s="16"/>
      <c r="AO694" s="16"/>
      <c r="AP694" s="16"/>
      <c r="AQ694" s="16"/>
      <c r="AR694" s="16"/>
      <c r="AS694" s="16"/>
    </row>
    <row r="695" spans="1:45" s="8" customFormat="1" x14ac:dyDescent="0.35">
      <c r="A695" s="16"/>
      <c r="B695" s="16"/>
      <c r="C695" s="16"/>
      <c r="D695" s="16"/>
      <c r="E695" s="16"/>
      <c r="F695" s="16"/>
      <c r="G695" s="16"/>
      <c r="H695" s="16"/>
      <c r="I695" s="16"/>
      <c r="J695" s="16"/>
      <c r="K695" s="16"/>
      <c r="L695" s="16"/>
      <c r="M695" s="16"/>
      <c r="AH695" s="16"/>
      <c r="AI695" s="16"/>
      <c r="AJ695" s="16"/>
      <c r="AK695" s="16"/>
      <c r="AL695" s="16"/>
      <c r="AM695" s="16"/>
      <c r="AN695" s="16"/>
      <c r="AO695" s="16"/>
      <c r="AP695" s="16"/>
      <c r="AQ695" s="16"/>
      <c r="AR695" s="16"/>
      <c r="AS695" s="16"/>
    </row>
    <row r="696" spans="1:45" s="8" customFormat="1" x14ac:dyDescent="0.35">
      <c r="A696" s="16"/>
      <c r="B696" s="16"/>
      <c r="C696" s="16"/>
      <c r="D696" s="16"/>
      <c r="E696" s="16"/>
      <c r="F696" s="16"/>
      <c r="G696" s="16"/>
      <c r="H696" s="16"/>
      <c r="I696" s="16"/>
      <c r="J696" s="16"/>
      <c r="K696" s="16"/>
      <c r="L696" s="16"/>
      <c r="M696" s="16"/>
      <c r="AH696" s="16"/>
      <c r="AI696" s="16"/>
      <c r="AJ696" s="16"/>
      <c r="AK696" s="16"/>
      <c r="AL696" s="16"/>
      <c r="AM696" s="16"/>
      <c r="AN696" s="16"/>
      <c r="AO696" s="16"/>
      <c r="AP696" s="16"/>
      <c r="AQ696" s="16"/>
      <c r="AR696" s="16"/>
      <c r="AS696" s="16"/>
    </row>
    <row r="697" spans="1:45" s="8" customFormat="1" x14ac:dyDescent="0.35">
      <c r="A697" s="16"/>
      <c r="B697" s="16"/>
      <c r="C697" s="16"/>
      <c r="D697" s="16"/>
      <c r="E697" s="16"/>
      <c r="F697" s="16"/>
      <c r="G697" s="16"/>
      <c r="H697" s="16"/>
      <c r="I697" s="16"/>
      <c r="J697" s="16"/>
      <c r="K697" s="16"/>
      <c r="L697" s="16"/>
      <c r="M697" s="16"/>
      <c r="AH697" s="16"/>
      <c r="AI697" s="16"/>
      <c r="AJ697" s="16"/>
      <c r="AK697" s="16"/>
      <c r="AL697" s="16"/>
      <c r="AM697" s="16"/>
      <c r="AN697" s="16"/>
      <c r="AO697" s="16"/>
      <c r="AP697" s="16"/>
      <c r="AQ697" s="16"/>
      <c r="AR697" s="16"/>
      <c r="AS697" s="16"/>
    </row>
    <row r="698" spans="1:45" s="8" customFormat="1" x14ac:dyDescent="0.35">
      <c r="A698" s="16"/>
      <c r="B698" s="16"/>
      <c r="C698" s="16"/>
      <c r="D698" s="16"/>
      <c r="E698" s="16"/>
      <c r="F698" s="16"/>
      <c r="G698" s="16"/>
      <c r="H698" s="16"/>
      <c r="I698" s="16"/>
      <c r="J698" s="16"/>
      <c r="K698" s="16"/>
      <c r="L698" s="16"/>
      <c r="M698" s="16"/>
      <c r="AH698" s="16"/>
      <c r="AI698" s="16"/>
      <c r="AJ698" s="16"/>
      <c r="AK698" s="16"/>
      <c r="AL698" s="16"/>
      <c r="AM698" s="16"/>
      <c r="AN698" s="16"/>
      <c r="AO698" s="16"/>
      <c r="AP698" s="16"/>
      <c r="AQ698" s="16"/>
      <c r="AR698" s="16"/>
      <c r="AS698" s="16"/>
    </row>
    <row r="699" spans="1:45" s="8" customFormat="1" x14ac:dyDescent="0.35">
      <c r="A699" s="16"/>
      <c r="B699" s="16"/>
      <c r="C699" s="16"/>
      <c r="D699" s="16"/>
      <c r="E699" s="16"/>
      <c r="F699" s="16"/>
      <c r="G699" s="16"/>
      <c r="H699" s="16"/>
      <c r="I699" s="16"/>
      <c r="J699" s="16"/>
      <c r="K699" s="16"/>
      <c r="L699" s="16"/>
      <c r="M699" s="16"/>
      <c r="AH699" s="16"/>
      <c r="AI699" s="16"/>
      <c r="AJ699" s="16"/>
      <c r="AK699" s="16"/>
      <c r="AL699" s="16"/>
      <c r="AM699" s="16"/>
      <c r="AN699" s="16"/>
      <c r="AO699" s="16"/>
      <c r="AP699" s="16"/>
      <c r="AQ699" s="16"/>
      <c r="AR699" s="16"/>
      <c r="AS699" s="16"/>
    </row>
    <row r="700" spans="1:45" s="8" customFormat="1" x14ac:dyDescent="0.35">
      <c r="A700" s="16"/>
      <c r="B700" s="16"/>
      <c r="C700" s="16"/>
      <c r="D700" s="16"/>
      <c r="E700" s="16"/>
      <c r="F700" s="16"/>
      <c r="G700" s="16"/>
      <c r="H700" s="16"/>
      <c r="I700" s="16"/>
      <c r="J700" s="16"/>
      <c r="K700" s="16"/>
      <c r="L700" s="16"/>
      <c r="M700" s="16"/>
      <c r="AH700" s="16"/>
      <c r="AI700" s="16"/>
      <c r="AJ700" s="16"/>
      <c r="AK700" s="16"/>
      <c r="AL700" s="16"/>
      <c r="AM700" s="16"/>
      <c r="AN700" s="16"/>
      <c r="AO700" s="16"/>
      <c r="AP700" s="16"/>
      <c r="AQ700" s="16"/>
      <c r="AR700" s="16"/>
      <c r="AS700" s="16"/>
    </row>
    <row r="701" spans="1:45" s="8" customFormat="1" x14ac:dyDescent="0.35">
      <c r="A701" s="16"/>
      <c r="B701" s="16"/>
      <c r="C701" s="16"/>
      <c r="D701" s="16"/>
      <c r="E701" s="16"/>
      <c r="F701" s="16"/>
      <c r="G701" s="16"/>
      <c r="H701" s="16"/>
      <c r="I701" s="16"/>
      <c r="J701" s="16"/>
      <c r="K701" s="16"/>
      <c r="L701" s="16"/>
      <c r="M701" s="16"/>
      <c r="AH701" s="16"/>
      <c r="AI701" s="16"/>
      <c r="AJ701" s="16"/>
      <c r="AK701" s="16"/>
      <c r="AL701" s="16"/>
      <c r="AM701" s="16"/>
      <c r="AN701" s="16"/>
      <c r="AO701" s="16"/>
      <c r="AP701" s="16"/>
      <c r="AQ701" s="16"/>
      <c r="AR701" s="16"/>
      <c r="AS701" s="16"/>
    </row>
    <row r="702" spans="1:45" s="8" customFormat="1" x14ac:dyDescent="0.35">
      <c r="A702" s="16"/>
      <c r="B702" s="16"/>
      <c r="C702" s="16"/>
      <c r="D702" s="16"/>
      <c r="E702" s="16"/>
      <c r="F702" s="16"/>
      <c r="G702" s="16"/>
      <c r="H702" s="16"/>
      <c r="I702" s="16"/>
      <c r="J702" s="16"/>
      <c r="K702" s="16"/>
      <c r="L702" s="16"/>
      <c r="M702" s="16"/>
      <c r="AH702" s="16"/>
      <c r="AI702" s="16"/>
      <c r="AJ702" s="16"/>
      <c r="AK702" s="16"/>
      <c r="AL702" s="16"/>
      <c r="AM702" s="16"/>
      <c r="AN702" s="16"/>
      <c r="AO702" s="16"/>
      <c r="AP702" s="16"/>
      <c r="AQ702" s="16"/>
      <c r="AR702" s="16"/>
      <c r="AS702" s="16"/>
    </row>
    <row r="703" spans="1:45" s="8" customFormat="1" x14ac:dyDescent="0.35">
      <c r="A703" s="16"/>
      <c r="B703" s="16"/>
      <c r="C703" s="16"/>
      <c r="D703" s="16"/>
      <c r="E703" s="16"/>
      <c r="F703" s="16"/>
      <c r="G703" s="16"/>
      <c r="H703" s="16"/>
      <c r="I703" s="16"/>
      <c r="J703" s="16"/>
      <c r="K703" s="16"/>
      <c r="L703" s="16"/>
      <c r="M703" s="16"/>
      <c r="AH703" s="16"/>
      <c r="AI703" s="16"/>
      <c r="AJ703" s="16"/>
      <c r="AK703" s="16"/>
      <c r="AL703" s="16"/>
      <c r="AM703" s="16"/>
      <c r="AN703" s="16"/>
      <c r="AO703" s="16"/>
      <c r="AP703" s="16"/>
      <c r="AQ703" s="16"/>
      <c r="AR703" s="16"/>
      <c r="AS703" s="16"/>
    </row>
    <row r="704" spans="1:45" s="8" customFormat="1" x14ac:dyDescent="0.35">
      <c r="A704" s="16"/>
      <c r="B704" s="16"/>
      <c r="C704" s="16"/>
      <c r="D704" s="16"/>
      <c r="E704" s="16"/>
      <c r="F704" s="16"/>
      <c r="G704" s="16"/>
      <c r="H704" s="16"/>
      <c r="I704" s="16"/>
      <c r="J704" s="16"/>
      <c r="K704" s="16"/>
      <c r="L704" s="16"/>
      <c r="M704" s="16"/>
      <c r="AH704" s="16"/>
      <c r="AI704" s="16"/>
      <c r="AJ704" s="16"/>
      <c r="AK704" s="16"/>
      <c r="AL704" s="16"/>
      <c r="AM704" s="16"/>
      <c r="AN704" s="16"/>
      <c r="AO704" s="16"/>
      <c r="AP704" s="16"/>
      <c r="AQ704" s="16"/>
      <c r="AR704" s="16"/>
      <c r="AS704" s="16"/>
    </row>
    <row r="705" spans="1:45" s="8" customFormat="1" x14ac:dyDescent="0.35">
      <c r="A705" s="16"/>
      <c r="B705" s="16"/>
      <c r="C705" s="16"/>
      <c r="D705" s="16"/>
      <c r="E705" s="16"/>
      <c r="F705" s="16"/>
      <c r="G705" s="16"/>
      <c r="H705" s="16"/>
      <c r="I705" s="16"/>
      <c r="J705" s="16"/>
      <c r="K705" s="16"/>
      <c r="L705" s="16"/>
      <c r="M705" s="16"/>
      <c r="AH705" s="16"/>
      <c r="AI705" s="16"/>
      <c r="AJ705" s="16"/>
      <c r="AK705" s="16"/>
      <c r="AL705" s="16"/>
      <c r="AM705" s="16"/>
      <c r="AN705" s="16"/>
      <c r="AO705" s="16"/>
      <c r="AP705" s="16"/>
      <c r="AQ705" s="16"/>
      <c r="AR705" s="16"/>
      <c r="AS705" s="16"/>
    </row>
    <row r="706" spans="1:45" s="8" customFormat="1" x14ac:dyDescent="0.35">
      <c r="A706" s="16"/>
      <c r="B706" s="16"/>
      <c r="C706" s="16"/>
      <c r="D706" s="16"/>
      <c r="E706" s="16"/>
      <c r="F706" s="16"/>
      <c r="G706" s="16"/>
      <c r="H706" s="16"/>
      <c r="I706" s="16"/>
      <c r="J706" s="16"/>
      <c r="K706" s="16"/>
      <c r="L706" s="16"/>
      <c r="M706" s="16"/>
      <c r="AH706" s="16"/>
      <c r="AI706" s="16"/>
      <c r="AJ706" s="16"/>
      <c r="AK706" s="16"/>
      <c r="AL706" s="16"/>
      <c r="AM706" s="16"/>
      <c r="AN706" s="16"/>
      <c r="AO706" s="16"/>
      <c r="AP706" s="16"/>
      <c r="AQ706" s="16"/>
      <c r="AR706" s="16"/>
      <c r="AS706" s="16"/>
    </row>
    <row r="707" spans="1:45" s="8" customFormat="1" x14ac:dyDescent="0.35">
      <c r="A707" s="16"/>
      <c r="B707" s="16"/>
      <c r="C707" s="16"/>
      <c r="D707" s="16"/>
      <c r="E707" s="16"/>
      <c r="F707" s="16"/>
      <c r="G707" s="16"/>
      <c r="H707" s="16"/>
      <c r="I707" s="16"/>
      <c r="J707" s="16"/>
      <c r="K707" s="16"/>
      <c r="L707" s="16"/>
      <c r="M707" s="16"/>
      <c r="AH707" s="16"/>
      <c r="AI707" s="16"/>
      <c r="AJ707" s="16"/>
      <c r="AK707" s="16"/>
      <c r="AL707" s="16"/>
      <c r="AM707" s="16"/>
      <c r="AN707" s="16"/>
      <c r="AO707" s="16"/>
      <c r="AP707" s="16"/>
      <c r="AQ707" s="16"/>
      <c r="AR707" s="16"/>
      <c r="AS707" s="16"/>
    </row>
    <row r="708" spans="1:45" s="8" customFormat="1" x14ac:dyDescent="0.35">
      <c r="A708" s="16"/>
      <c r="B708" s="16"/>
      <c r="C708" s="16"/>
      <c r="D708" s="16"/>
      <c r="E708" s="16"/>
      <c r="F708" s="16"/>
      <c r="G708" s="16"/>
      <c r="H708" s="16"/>
      <c r="I708" s="16"/>
      <c r="J708" s="16"/>
      <c r="K708" s="16"/>
      <c r="L708" s="16"/>
      <c r="M708" s="16"/>
      <c r="AH708" s="16"/>
      <c r="AI708" s="16"/>
      <c r="AJ708" s="16"/>
      <c r="AK708" s="16"/>
      <c r="AL708" s="16"/>
      <c r="AM708" s="16"/>
      <c r="AN708" s="16"/>
      <c r="AO708" s="16"/>
      <c r="AP708" s="16"/>
      <c r="AQ708" s="16"/>
      <c r="AR708" s="16"/>
      <c r="AS708" s="16"/>
    </row>
    <row r="709" spans="1:45" s="8" customFormat="1" x14ac:dyDescent="0.35">
      <c r="A709" s="16"/>
      <c r="B709" s="16"/>
      <c r="C709" s="16"/>
      <c r="D709" s="16"/>
      <c r="E709" s="16"/>
      <c r="F709" s="16"/>
      <c r="G709" s="16"/>
      <c r="H709" s="16"/>
      <c r="I709" s="16"/>
      <c r="J709" s="16"/>
      <c r="K709" s="16"/>
      <c r="L709" s="16"/>
      <c r="M709" s="16"/>
      <c r="AH709" s="16"/>
      <c r="AI709" s="16"/>
      <c r="AJ709" s="16"/>
      <c r="AK709" s="16"/>
      <c r="AL709" s="16"/>
      <c r="AM709" s="16"/>
      <c r="AN709" s="16"/>
      <c r="AO709" s="16"/>
      <c r="AP709" s="16"/>
      <c r="AQ709" s="16"/>
      <c r="AR709" s="16"/>
      <c r="AS709" s="16"/>
    </row>
    <row r="710" spans="1:45" s="8" customFormat="1" x14ac:dyDescent="0.35">
      <c r="A710" s="16"/>
      <c r="B710" s="16"/>
      <c r="C710" s="16"/>
      <c r="D710" s="16"/>
      <c r="E710" s="16"/>
      <c r="F710" s="16"/>
      <c r="G710" s="16"/>
      <c r="H710" s="16"/>
      <c r="I710" s="16"/>
      <c r="J710" s="16"/>
      <c r="K710" s="16"/>
      <c r="L710" s="16"/>
      <c r="M710" s="16"/>
      <c r="AH710" s="16"/>
      <c r="AI710" s="16"/>
      <c r="AJ710" s="16"/>
      <c r="AK710" s="16"/>
      <c r="AL710" s="16"/>
      <c r="AM710" s="16"/>
      <c r="AN710" s="16"/>
      <c r="AO710" s="16"/>
      <c r="AP710" s="16"/>
      <c r="AQ710" s="16"/>
      <c r="AR710" s="16"/>
      <c r="AS710" s="16"/>
    </row>
    <row r="711" spans="1:45" s="8" customFormat="1" x14ac:dyDescent="0.35">
      <c r="A711" s="16"/>
      <c r="B711" s="16"/>
      <c r="C711" s="16"/>
      <c r="D711" s="16"/>
      <c r="E711" s="16"/>
      <c r="F711" s="16"/>
      <c r="G711" s="16"/>
      <c r="H711" s="16"/>
      <c r="I711" s="16"/>
      <c r="J711" s="16"/>
      <c r="K711" s="16"/>
      <c r="L711" s="16"/>
      <c r="M711" s="16"/>
      <c r="AH711" s="16"/>
      <c r="AI711" s="16"/>
      <c r="AJ711" s="16"/>
      <c r="AK711" s="16"/>
      <c r="AL711" s="16"/>
      <c r="AM711" s="16"/>
      <c r="AN711" s="16"/>
      <c r="AO711" s="16"/>
      <c r="AP711" s="16"/>
      <c r="AQ711" s="16"/>
      <c r="AR711" s="16"/>
      <c r="AS711" s="16"/>
    </row>
    <row r="712" spans="1:45" s="8" customFormat="1" x14ac:dyDescent="0.35">
      <c r="A712" s="16"/>
      <c r="B712" s="16"/>
      <c r="C712" s="16"/>
      <c r="D712" s="16"/>
      <c r="E712" s="16"/>
      <c r="F712" s="16"/>
      <c r="G712" s="16"/>
      <c r="H712" s="16"/>
      <c r="I712" s="16"/>
      <c r="J712" s="16"/>
      <c r="K712" s="16"/>
      <c r="L712" s="16"/>
      <c r="M712" s="16"/>
      <c r="AH712" s="16"/>
      <c r="AI712" s="16"/>
      <c r="AJ712" s="16"/>
      <c r="AK712" s="16"/>
      <c r="AL712" s="16"/>
      <c r="AM712" s="16"/>
      <c r="AN712" s="16"/>
      <c r="AO712" s="16"/>
      <c r="AP712" s="16"/>
      <c r="AQ712" s="16"/>
      <c r="AR712" s="16"/>
      <c r="AS712" s="16"/>
    </row>
    <row r="713" spans="1:45" s="8" customFormat="1" x14ac:dyDescent="0.35">
      <c r="A713" s="16"/>
      <c r="B713" s="16"/>
      <c r="C713" s="16"/>
      <c r="D713" s="16"/>
      <c r="E713" s="16"/>
      <c r="F713" s="16"/>
      <c r="G713" s="16"/>
      <c r="H713" s="16"/>
      <c r="I713" s="16"/>
      <c r="J713" s="16"/>
      <c r="K713" s="16"/>
      <c r="L713" s="16"/>
      <c r="M713" s="16"/>
      <c r="AH713" s="16"/>
      <c r="AI713" s="16"/>
      <c r="AJ713" s="16"/>
      <c r="AK713" s="16"/>
      <c r="AL713" s="16"/>
      <c r="AM713" s="16"/>
      <c r="AN713" s="16"/>
      <c r="AO713" s="16"/>
      <c r="AP713" s="16"/>
      <c r="AQ713" s="16"/>
      <c r="AR713" s="16"/>
      <c r="AS713" s="16"/>
    </row>
    <row r="714" spans="1:45" s="8" customFormat="1" x14ac:dyDescent="0.35">
      <c r="A714" s="16"/>
      <c r="B714" s="16"/>
      <c r="C714" s="16"/>
      <c r="D714" s="16"/>
      <c r="E714" s="16"/>
      <c r="F714" s="16"/>
      <c r="G714" s="16"/>
      <c r="H714" s="16"/>
      <c r="I714" s="16"/>
      <c r="J714" s="16"/>
      <c r="K714" s="16"/>
      <c r="L714" s="16"/>
      <c r="M714" s="16"/>
      <c r="AH714" s="16"/>
      <c r="AI714" s="16"/>
      <c r="AJ714" s="16"/>
      <c r="AK714" s="16"/>
      <c r="AL714" s="16"/>
      <c r="AM714" s="16"/>
      <c r="AN714" s="16"/>
      <c r="AO714" s="16"/>
      <c r="AP714" s="16"/>
      <c r="AQ714" s="16"/>
      <c r="AR714" s="16"/>
      <c r="AS714" s="16"/>
    </row>
    <row r="715" spans="1:45" s="8" customFormat="1" x14ac:dyDescent="0.35">
      <c r="A715" s="16"/>
      <c r="B715" s="16"/>
      <c r="C715" s="16"/>
      <c r="D715" s="16"/>
      <c r="E715" s="16"/>
      <c r="F715" s="16"/>
      <c r="G715" s="16"/>
      <c r="H715" s="16"/>
      <c r="I715" s="16"/>
      <c r="J715" s="16"/>
      <c r="K715" s="16"/>
      <c r="L715" s="16"/>
      <c r="M715" s="16"/>
      <c r="AH715" s="16"/>
      <c r="AI715" s="16"/>
      <c r="AJ715" s="16"/>
      <c r="AK715" s="16"/>
      <c r="AL715" s="16"/>
      <c r="AM715" s="16"/>
      <c r="AN715" s="16"/>
      <c r="AO715" s="16"/>
      <c r="AP715" s="16"/>
      <c r="AQ715" s="16"/>
      <c r="AR715" s="16"/>
      <c r="AS715" s="16"/>
    </row>
    <row r="716" spans="1:45" s="8" customFormat="1" x14ac:dyDescent="0.35">
      <c r="A716" s="16"/>
      <c r="B716" s="16"/>
      <c r="C716" s="16"/>
      <c r="D716" s="16"/>
      <c r="E716" s="16"/>
      <c r="F716" s="16"/>
      <c r="G716" s="16"/>
      <c r="H716" s="16"/>
      <c r="I716" s="16"/>
      <c r="J716" s="16"/>
      <c r="K716" s="16"/>
      <c r="L716" s="16"/>
      <c r="M716" s="16"/>
      <c r="AH716" s="16"/>
      <c r="AI716" s="16"/>
      <c r="AJ716" s="16"/>
      <c r="AK716" s="16"/>
      <c r="AL716" s="16"/>
      <c r="AM716" s="16"/>
      <c r="AN716" s="16"/>
      <c r="AO716" s="16"/>
      <c r="AP716" s="16"/>
      <c r="AQ716" s="16"/>
      <c r="AR716" s="16"/>
      <c r="AS716" s="16"/>
    </row>
    <row r="717" spans="1:45" s="8" customFormat="1" x14ac:dyDescent="0.35">
      <c r="A717" s="16"/>
      <c r="B717" s="16"/>
      <c r="C717" s="16"/>
      <c r="D717" s="16"/>
      <c r="E717" s="16"/>
      <c r="F717" s="16"/>
      <c r="G717" s="16"/>
      <c r="H717" s="16"/>
      <c r="I717" s="16"/>
      <c r="J717" s="16"/>
      <c r="K717" s="16"/>
      <c r="L717" s="16"/>
      <c r="M717" s="16"/>
      <c r="AH717" s="16"/>
      <c r="AI717" s="16"/>
      <c r="AJ717" s="16"/>
      <c r="AK717" s="16"/>
      <c r="AL717" s="16"/>
      <c r="AM717" s="16"/>
      <c r="AN717" s="16"/>
      <c r="AO717" s="16"/>
      <c r="AP717" s="16"/>
      <c r="AQ717" s="16"/>
      <c r="AR717" s="16"/>
      <c r="AS717" s="16"/>
    </row>
    <row r="718" spans="1:45" s="8" customFormat="1" x14ac:dyDescent="0.35">
      <c r="A718" s="16"/>
      <c r="B718" s="16"/>
      <c r="C718" s="16"/>
      <c r="D718" s="16"/>
      <c r="E718" s="16"/>
      <c r="F718" s="16"/>
      <c r="G718" s="16"/>
      <c r="H718" s="16"/>
      <c r="I718" s="16"/>
      <c r="J718" s="16"/>
      <c r="K718" s="16"/>
      <c r="L718" s="16"/>
      <c r="M718" s="16"/>
      <c r="AH718" s="16"/>
      <c r="AI718" s="16"/>
      <c r="AJ718" s="16"/>
      <c r="AK718" s="16"/>
      <c r="AL718" s="16"/>
      <c r="AM718" s="16"/>
      <c r="AN718" s="16"/>
      <c r="AO718" s="16"/>
      <c r="AP718" s="16"/>
      <c r="AQ718" s="16"/>
      <c r="AR718" s="16"/>
      <c r="AS718" s="16"/>
    </row>
    <row r="719" spans="1:45" s="8" customFormat="1" x14ac:dyDescent="0.35">
      <c r="A719" s="16"/>
      <c r="B719" s="16"/>
      <c r="C719" s="16"/>
      <c r="D719" s="16"/>
      <c r="E719" s="16"/>
      <c r="F719" s="16"/>
      <c r="G719" s="16"/>
      <c r="H719" s="16"/>
      <c r="I719" s="16"/>
      <c r="J719" s="16"/>
      <c r="K719" s="16"/>
      <c r="L719" s="16"/>
      <c r="M719" s="16"/>
      <c r="AH719" s="16"/>
      <c r="AI719" s="16"/>
      <c r="AJ719" s="16"/>
      <c r="AK719" s="16"/>
      <c r="AL719" s="16"/>
      <c r="AM719" s="16"/>
      <c r="AN719" s="16"/>
      <c r="AO719" s="16"/>
      <c r="AP719" s="16"/>
      <c r="AQ719" s="16"/>
      <c r="AR719" s="16"/>
      <c r="AS719" s="16"/>
    </row>
    <row r="720" spans="1:45" s="8" customFormat="1" x14ac:dyDescent="0.35">
      <c r="A720" s="16"/>
      <c r="B720" s="16"/>
      <c r="C720" s="16"/>
      <c r="D720" s="16"/>
      <c r="E720" s="16"/>
      <c r="F720" s="16"/>
      <c r="G720" s="16"/>
      <c r="H720" s="16"/>
      <c r="I720" s="16"/>
      <c r="J720" s="16"/>
      <c r="K720" s="16"/>
      <c r="L720" s="16"/>
      <c r="M720" s="16"/>
      <c r="AH720" s="16"/>
      <c r="AI720" s="16"/>
      <c r="AJ720" s="16"/>
      <c r="AK720" s="16"/>
      <c r="AL720" s="16"/>
      <c r="AM720" s="16"/>
      <c r="AN720" s="16"/>
      <c r="AO720" s="16"/>
      <c r="AP720" s="16"/>
      <c r="AQ720" s="16"/>
      <c r="AR720" s="16"/>
      <c r="AS720" s="16"/>
    </row>
    <row r="721" spans="1:45" s="8" customFormat="1" x14ac:dyDescent="0.35">
      <c r="A721" s="16"/>
      <c r="B721" s="16"/>
      <c r="C721" s="16"/>
      <c r="D721" s="16"/>
      <c r="E721" s="16"/>
      <c r="F721" s="16"/>
      <c r="G721" s="16"/>
      <c r="H721" s="16"/>
      <c r="I721" s="16"/>
      <c r="J721" s="16"/>
      <c r="K721" s="16"/>
      <c r="L721" s="16"/>
      <c r="M721" s="16"/>
      <c r="AH721" s="16"/>
      <c r="AI721" s="16"/>
      <c r="AJ721" s="16"/>
      <c r="AK721" s="16"/>
      <c r="AL721" s="16"/>
      <c r="AM721" s="16"/>
      <c r="AN721" s="16"/>
      <c r="AO721" s="16"/>
      <c r="AP721" s="16"/>
      <c r="AQ721" s="16"/>
      <c r="AR721" s="16"/>
      <c r="AS721" s="16"/>
    </row>
    <row r="722" spans="1:45" s="8" customFormat="1" x14ac:dyDescent="0.35">
      <c r="A722" s="16"/>
      <c r="B722" s="16"/>
      <c r="C722" s="16"/>
      <c r="D722" s="16"/>
      <c r="E722" s="16"/>
      <c r="F722" s="16"/>
      <c r="G722" s="16"/>
      <c r="H722" s="16"/>
      <c r="I722" s="16"/>
      <c r="J722" s="16"/>
      <c r="K722" s="16"/>
      <c r="L722" s="16"/>
      <c r="M722" s="16"/>
      <c r="AH722" s="16"/>
      <c r="AI722" s="16"/>
      <c r="AJ722" s="16"/>
      <c r="AK722" s="16"/>
      <c r="AL722" s="16"/>
      <c r="AM722" s="16"/>
      <c r="AN722" s="16"/>
      <c r="AO722" s="16"/>
      <c r="AP722" s="16"/>
      <c r="AQ722" s="16"/>
      <c r="AR722" s="16"/>
      <c r="AS722" s="16"/>
    </row>
    <row r="723" spans="1:45" s="8" customFormat="1" x14ac:dyDescent="0.35">
      <c r="A723" s="16"/>
      <c r="B723" s="16"/>
      <c r="C723" s="16"/>
      <c r="D723" s="16"/>
      <c r="E723" s="16"/>
      <c r="F723" s="16"/>
      <c r="G723" s="16"/>
      <c r="H723" s="16"/>
      <c r="I723" s="16"/>
      <c r="J723" s="16"/>
      <c r="K723" s="16"/>
      <c r="L723" s="16"/>
      <c r="M723" s="16"/>
      <c r="AH723" s="16"/>
      <c r="AI723" s="16"/>
      <c r="AJ723" s="16"/>
      <c r="AK723" s="16"/>
      <c r="AL723" s="16"/>
      <c r="AM723" s="16"/>
      <c r="AN723" s="16"/>
      <c r="AO723" s="16"/>
      <c r="AP723" s="16"/>
      <c r="AQ723" s="16"/>
      <c r="AR723" s="16"/>
      <c r="AS723" s="16"/>
    </row>
    <row r="724" spans="1:45" s="8" customFormat="1" x14ac:dyDescent="0.35">
      <c r="A724" s="16"/>
      <c r="B724" s="16"/>
      <c r="C724" s="16"/>
      <c r="D724" s="16"/>
      <c r="E724" s="16"/>
      <c r="F724" s="16"/>
      <c r="G724" s="16"/>
      <c r="H724" s="16"/>
      <c r="I724" s="16"/>
      <c r="J724" s="16"/>
      <c r="K724" s="16"/>
      <c r="L724" s="16"/>
      <c r="M724" s="16"/>
      <c r="AH724" s="16"/>
      <c r="AI724" s="16"/>
      <c r="AJ724" s="16"/>
      <c r="AK724" s="16"/>
      <c r="AL724" s="16"/>
      <c r="AM724" s="16"/>
      <c r="AN724" s="16"/>
      <c r="AO724" s="16"/>
      <c r="AP724" s="16"/>
      <c r="AQ724" s="16"/>
      <c r="AR724" s="16"/>
      <c r="AS724" s="16"/>
    </row>
    <row r="725" spans="1:45" s="8" customFormat="1" x14ac:dyDescent="0.35">
      <c r="A725" s="16"/>
      <c r="B725" s="16"/>
      <c r="C725" s="16"/>
      <c r="D725" s="16"/>
      <c r="E725" s="16"/>
      <c r="F725" s="16"/>
      <c r="G725" s="16"/>
      <c r="H725" s="16"/>
      <c r="I725" s="16"/>
      <c r="J725" s="16"/>
      <c r="K725" s="16"/>
      <c r="L725" s="16"/>
      <c r="M725" s="16"/>
      <c r="AH725" s="16"/>
      <c r="AI725" s="16"/>
      <c r="AJ725" s="16"/>
      <c r="AK725" s="16"/>
      <c r="AL725" s="16"/>
      <c r="AM725" s="16"/>
      <c r="AN725" s="16"/>
      <c r="AO725" s="16"/>
      <c r="AP725" s="16"/>
      <c r="AQ725" s="16"/>
      <c r="AR725" s="16"/>
      <c r="AS725" s="16"/>
    </row>
    <row r="726" spans="1:45" s="8" customFormat="1" x14ac:dyDescent="0.35">
      <c r="A726" s="16"/>
      <c r="B726" s="16"/>
      <c r="C726" s="16"/>
      <c r="D726" s="16"/>
      <c r="E726" s="16"/>
      <c r="F726" s="16"/>
      <c r="G726" s="16"/>
      <c r="H726" s="16"/>
      <c r="I726" s="16"/>
      <c r="J726" s="16"/>
      <c r="K726" s="16"/>
      <c r="L726" s="16"/>
      <c r="M726" s="16"/>
      <c r="AH726" s="16"/>
      <c r="AI726" s="16"/>
      <c r="AJ726" s="16"/>
      <c r="AK726" s="16"/>
      <c r="AL726" s="16"/>
      <c r="AM726" s="16"/>
      <c r="AN726" s="16"/>
      <c r="AO726" s="16"/>
      <c r="AP726" s="16"/>
      <c r="AQ726" s="16"/>
      <c r="AR726" s="16"/>
      <c r="AS726" s="16"/>
    </row>
    <row r="727" spans="1:45" s="8" customFormat="1" x14ac:dyDescent="0.35">
      <c r="A727" s="16"/>
      <c r="B727" s="16"/>
      <c r="C727" s="16"/>
      <c r="D727" s="16"/>
      <c r="E727" s="16"/>
      <c r="F727" s="16"/>
      <c r="G727" s="16"/>
      <c r="H727" s="16"/>
      <c r="I727" s="16"/>
      <c r="J727" s="16"/>
      <c r="K727" s="16"/>
      <c r="L727" s="16"/>
      <c r="M727" s="16"/>
      <c r="AH727" s="16"/>
      <c r="AI727" s="16"/>
      <c r="AJ727" s="16"/>
      <c r="AK727" s="16"/>
      <c r="AL727" s="16"/>
      <c r="AM727" s="16"/>
      <c r="AN727" s="16"/>
      <c r="AO727" s="16"/>
      <c r="AP727" s="16"/>
      <c r="AQ727" s="16"/>
      <c r="AR727" s="16"/>
      <c r="AS727" s="16"/>
    </row>
    <row r="728" spans="1:45" s="8" customFormat="1" x14ac:dyDescent="0.35">
      <c r="A728" s="16"/>
      <c r="B728" s="16"/>
      <c r="C728" s="16"/>
      <c r="D728" s="16"/>
      <c r="E728" s="16"/>
      <c r="F728" s="16"/>
      <c r="G728" s="16"/>
      <c r="H728" s="16"/>
      <c r="I728" s="16"/>
      <c r="J728" s="16"/>
      <c r="K728" s="16"/>
      <c r="L728" s="16"/>
      <c r="M728" s="16"/>
      <c r="AH728" s="16"/>
      <c r="AI728" s="16"/>
      <c r="AJ728" s="16"/>
      <c r="AK728" s="16"/>
      <c r="AL728" s="16"/>
      <c r="AM728" s="16"/>
      <c r="AN728" s="16"/>
      <c r="AO728" s="16"/>
      <c r="AP728" s="16"/>
      <c r="AQ728" s="16"/>
      <c r="AR728" s="16"/>
      <c r="AS728" s="16"/>
    </row>
    <row r="729" spans="1:45" s="8" customFormat="1" x14ac:dyDescent="0.35">
      <c r="A729" s="16"/>
      <c r="B729" s="16"/>
      <c r="C729" s="16"/>
      <c r="D729" s="16"/>
      <c r="E729" s="16"/>
      <c r="F729" s="16"/>
      <c r="G729" s="16"/>
      <c r="H729" s="16"/>
      <c r="I729" s="16"/>
      <c r="J729" s="16"/>
      <c r="K729" s="16"/>
      <c r="L729" s="16"/>
      <c r="M729" s="16"/>
      <c r="AH729" s="16"/>
      <c r="AI729" s="16"/>
      <c r="AJ729" s="16"/>
      <c r="AK729" s="16"/>
      <c r="AL729" s="16"/>
      <c r="AM729" s="16"/>
      <c r="AN729" s="16"/>
      <c r="AO729" s="16"/>
      <c r="AP729" s="16"/>
      <c r="AQ729" s="16"/>
      <c r="AR729" s="16"/>
      <c r="AS729" s="16"/>
    </row>
    <row r="730" spans="1:45" s="8" customFormat="1" x14ac:dyDescent="0.35">
      <c r="A730" s="16"/>
      <c r="B730" s="16"/>
      <c r="C730" s="16"/>
      <c r="D730" s="16"/>
      <c r="E730" s="16"/>
      <c r="F730" s="16"/>
      <c r="G730" s="16"/>
      <c r="H730" s="16"/>
      <c r="I730" s="16"/>
      <c r="J730" s="16"/>
      <c r="K730" s="16"/>
      <c r="L730" s="16"/>
      <c r="M730" s="16"/>
      <c r="AH730" s="16"/>
      <c r="AI730" s="16"/>
      <c r="AJ730" s="16"/>
      <c r="AK730" s="16"/>
      <c r="AL730" s="16"/>
      <c r="AM730" s="16"/>
      <c r="AN730" s="16"/>
      <c r="AO730" s="16"/>
      <c r="AP730" s="16"/>
      <c r="AQ730" s="16"/>
      <c r="AR730" s="16"/>
      <c r="AS730" s="16"/>
    </row>
    <row r="731" spans="1:45" s="8" customFormat="1" x14ac:dyDescent="0.35">
      <c r="A731" s="16"/>
      <c r="B731" s="16"/>
      <c r="C731" s="16"/>
      <c r="D731" s="16"/>
      <c r="E731" s="16"/>
      <c r="F731" s="16"/>
      <c r="G731" s="16"/>
      <c r="H731" s="16"/>
      <c r="I731" s="16"/>
      <c r="J731" s="16"/>
      <c r="K731" s="16"/>
      <c r="L731" s="16"/>
      <c r="M731" s="16"/>
      <c r="AH731" s="16"/>
      <c r="AI731" s="16"/>
      <c r="AJ731" s="16"/>
      <c r="AK731" s="16"/>
      <c r="AL731" s="16"/>
      <c r="AM731" s="16"/>
      <c r="AN731" s="16"/>
      <c r="AO731" s="16"/>
      <c r="AP731" s="16"/>
      <c r="AQ731" s="16"/>
      <c r="AR731" s="16"/>
      <c r="AS731" s="16"/>
    </row>
    <row r="732" spans="1:45" s="8" customFormat="1" x14ac:dyDescent="0.35">
      <c r="A732" s="16"/>
      <c r="B732" s="16"/>
      <c r="C732" s="16"/>
      <c r="D732" s="16"/>
      <c r="E732" s="16"/>
      <c r="F732" s="16"/>
      <c r="G732" s="16"/>
      <c r="H732" s="16"/>
      <c r="I732" s="16"/>
      <c r="J732" s="16"/>
      <c r="K732" s="16"/>
      <c r="L732" s="16"/>
      <c r="M732" s="16"/>
      <c r="AH732" s="16"/>
      <c r="AI732" s="16"/>
      <c r="AJ732" s="16"/>
      <c r="AK732" s="16"/>
      <c r="AL732" s="16"/>
      <c r="AM732" s="16"/>
      <c r="AN732" s="16"/>
      <c r="AO732" s="16"/>
      <c r="AP732" s="16"/>
      <c r="AQ732" s="16"/>
      <c r="AR732" s="16"/>
      <c r="AS732" s="16"/>
    </row>
    <row r="733" spans="1:45" s="8" customFormat="1" x14ac:dyDescent="0.35">
      <c r="A733" s="16"/>
      <c r="B733" s="16"/>
      <c r="C733" s="16"/>
      <c r="D733" s="16"/>
      <c r="E733" s="16"/>
      <c r="F733" s="16"/>
      <c r="G733" s="16"/>
      <c r="H733" s="16"/>
      <c r="I733" s="16"/>
      <c r="J733" s="16"/>
      <c r="K733" s="16"/>
      <c r="L733" s="16"/>
      <c r="M733" s="16"/>
      <c r="AH733" s="16"/>
      <c r="AI733" s="16"/>
      <c r="AJ733" s="16"/>
      <c r="AK733" s="16"/>
      <c r="AL733" s="16"/>
      <c r="AM733" s="16"/>
      <c r="AN733" s="16"/>
      <c r="AO733" s="16"/>
      <c r="AP733" s="16"/>
      <c r="AQ733" s="16"/>
      <c r="AR733" s="16"/>
      <c r="AS733" s="16"/>
    </row>
    <row r="734" spans="1:45" s="8" customFormat="1" x14ac:dyDescent="0.35">
      <c r="A734" s="16"/>
      <c r="B734" s="16"/>
      <c r="C734" s="16"/>
      <c r="D734" s="16"/>
      <c r="E734" s="16"/>
      <c r="F734" s="16"/>
      <c r="G734" s="16"/>
      <c r="H734" s="16"/>
      <c r="I734" s="16"/>
      <c r="J734" s="16"/>
      <c r="K734" s="16"/>
      <c r="L734" s="16"/>
      <c r="M734" s="16"/>
      <c r="AH734" s="16"/>
      <c r="AI734" s="16"/>
      <c r="AJ734" s="16"/>
      <c r="AK734" s="16"/>
      <c r="AL734" s="16"/>
      <c r="AM734" s="16"/>
      <c r="AN734" s="16"/>
      <c r="AO734" s="16"/>
      <c r="AP734" s="16"/>
      <c r="AQ734" s="16"/>
      <c r="AR734" s="16"/>
      <c r="AS734" s="16"/>
    </row>
    <row r="735" spans="1:45" s="8" customFormat="1" x14ac:dyDescent="0.35">
      <c r="A735" s="16"/>
      <c r="B735" s="16"/>
      <c r="C735" s="16"/>
      <c r="D735" s="16"/>
      <c r="E735" s="16"/>
      <c r="F735" s="16"/>
      <c r="G735" s="16"/>
      <c r="H735" s="16"/>
      <c r="I735" s="16"/>
      <c r="J735" s="16"/>
      <c r="K735" s="16"/>
      <c r="L735" s="16"/>
      <c r="M735" s="16"/>
      <c r="AH735" s="16"/>
      <c r="AI735" s="16"/>
      <c r="AJ735" s="16"/>
      <c r="AK735" s="16"/>
      <c r="AL735" s="16"/>
      <c r="AM735" s="16"/>
      <c r="AN735" s="16"/>
      <c r="AO735" s="16"/>
      <c r="AP735" s="16"/>
      <c r="AQ735" s="16"/>
      <c r="AR735" s="16"/>
      <c r="AS735" s="16"/>
    </row>
    <row r="736" spans="1:45" s="8" customFormat="1" x14ac:dyDescent="0.35">
      <c r="A736" s="16"/>
      <c r="B736" s="16"/>
      <c r="C736" s="16"/>
      <c r="D736" s="16"/>
      <c r="E736" s="16"/>
      <c r="F736" s="16"/>
      <c r="G736" s="16"/>
      <c r="H736" s="16"/>
      <c r="I736" s="16"/>
      <c r="J736" s="16"/>
      <c r="K736" s="16"/>
      <c r="L736" s="16"/>
      <c r="M736" s="16"/>
      <c r="AH736" s="16"/>
      <c r="AI736" s="16"/>
      <c r="AJ736" s="16"/>
      <c r="AK736" s="16"/>
      <c r="AL736" s="16"/>
      <c r="AM736" s="16"/>
      <c r="AN736" s="16"/>
      <c r="AO736" s="16"/>
      <c r="AP736" s="16"/>
      <c r="AQ736" s="16"/>
      <c r="AR736" s="16"/>
      <c r="AS736" s="16"/>
    </row>
    <row r="737" spans="1:45" s="8" customFormat="1" x14ac:dyDescent="0.35">
      <c r="A737" s="16"/>
      <c r="B737" s="16"/>
      <c r="C737" s="16"/>
      <c r="D737" s="16"/>
      <c r="E737" s="16"/>
      <c r="F737" s="16"/>
      <c r="G737" s="16"/>
      <c r="H737" s="16"/>
      <c r="I737" s="16"/>
      <c r="J737" s="16"/>
      <c r="K737" s="16"/>
      <c r="L737" s="16"/>
      <c r="M737" s="16"/>
      <c r="AH737" s="16"/>
      <c r="AI737" s="16"/>
      <c r="AJ737" s="16"/>
      <c r="AK737" s="16"/>
      <c r="AL737" s="16"/>
      <c r="AM737" s="16"/>
      <c r="AN737" s="16"/>
      <c r="AO737" s="16"/>
      <c r="AP737" s="16"/>
      <c r="AQ737" s="16"/>
      <c r="AR737" s="16"/>
      <c r="AS737" s="16"/>
    </row>
    <row r="738" spans="1:45" s="8" customFormat="1" x14ac:dyDescent="0.35">
      <c r="A738" s="16"/>
      <c r="B738" s="16"/>
      <c r="C738" s="16"/>
      <c r="D738" s="16"/>
      <c r="E738" s="16"/>
      <c r="F738" s="16"/>
      <c r="G738" s="16"/>
      <c r="H738" s="16"/>
      <c r="I738" s="16"/>
      <c r="J738" s="16"/>
      <c r="K738" s="16"/>
      <c r="L738" s="16"/>
      <c r="M738" s="16"/>
      <c r="AH738" s="16"/>
      <c r="AI738" s="16"/>
      <c r="AJ738" s="16"/>
      <c r="AK738" s="16"/>
      <c r="AL738" s="16"/>
      <c r="AM738" s="16"/>
      <c r="AN738" s="16"/>
      <c r="AO738" s="16"/>
      <c r="AP738" s="16"/>
      <c r="AQ738" s="16"/>
      <c r="AR738" s="16"/>
      <c r="AS738" s="16"/>
    </row>
    <row r="739" spans="1:45" s="8" customFormat="1" x14ac:dyDescent="0.35">
      <c r="A739" s="16"/>
      <c r="B739" s="16"/>
      <c r="C739" s="16"/>
      <c r="D739" s="16"/>
      <c r="E739" s="16"/>
      <c r="F739" s="16"/>
      <c r="G739" s="16"/>
      <c r="H739" s="16"/>
      <c r="I739" s="16"/>
      <c r="J739" s="16"/>
      <c r="K739" s="16"/>
      <c r="L739" s="16"/>
      <c r="M739" s="16"/>
      <c r="AH739" s="16"/>
      <c r="AI739" s="16"/>
      <c r="AJ739" s="16"/>
      <c r="AK739" s="16"/>
      <c r="AL739" s="16"/>
      <c r="AM739" s="16"/>
      <c r="AN739" s="16"/>
      <c r="AO739" s="16"/>
      <c r="AP739" s="16"/>
      <c r="AQ739" s="16"/>
      <c r="AR739" s="16"/>
      <c r="AS739" s="16"/>
    </row>
    <row r="740" spans="1:45" s="8" customFormat="1" x14ac:dyDescent="0.35">
      <c r="A740" s="16"/>
      <c r="B740" s="16"/>
      <c r="C740" s="16"/>
      <c r="D740" s="16"/>
      <c r="E740" s="16"/>
      <c r="F740" s="16"/>
      <c r="G740" s="16"/>
      <c r="H740" s="16"/>
      <c r="I740" s="16"/>
      <c r="J740" s="16"/>
      <c r="K740" s="16"/>
      <c r="L740" s="16"/>
      <c r="M740" s="16"/>
      <c r="AH740" s="16"/>
      <c r="AI740" s="16"/>
      <c r="AJ740" s="16"/>
      <c r="AK740" s="16"/>
      <c r="AL740" s="16"/>
      <c r="AM740" s="16"/>
      <c r="AN740" s="16"/>
      <c r="AO740" s="16"/>
      <c r="AP740" s="16"/>
      <c r="AQ740" s="16"/>
      <c r="AR740" s="16"/>
      <c r="AS740" s="16"/>
    </row>
    <row r="741" spans="1:45" s="8" customFormat="1" x14ac:dyDescent="0.35">
      <c r="A741" s="16"/>
      <c r="B741" s="16"/>
      <c r="C741" s="16"/>
      <c r="D741" s="16"/>
      <c r="E741" s="16"/>
      <c r="F741" s="16"/>
      <c r="G741" s="16"/>
      <c r="H741" s="16"/>
      <c r="I741" s="16"/>
      <c r="J741" s="16"/>
      <c r="K741" s="16"/>
      <c r="L741" s="16"/>
      <c r="M741" s="16"/>
      <c r="AH741" s="16"/>
      <c r="AI741" s="16"/>
      <c r="AJ741" s="16"/>
      <c r="AK741" s="16"/>
      <c r="AL741" s="16"/>
      <c r="AM741" s="16"/>
      <c r="AN741" s="16"/>
      <c r="AO741" s="16"/>
      <c r="AP741" s="16"/>
      <c r="AQ741" s="16"/>
      <c r="AR741" s="16"/>
      <c r="AS741" s="16"/>
    </row>
    <row r="742" spans="1:45" s="8" customFormat="1" x14ac:dyDescent="0.35">
      <c r="A742" s="16"/>
      <c r="B742" s="16"/>
      <c r="C742" s="16"/>
      <c r="D742" s="16"/>
      <c r="E742" s="16"/>
      <c r="F742" s="16"/>
      <c r="G742" s="16"/>
      <c r="H742" s="16"/>
      <c r="I742" s="16"/>
      <c r="J742" s="16"/>
      <c r="K742" s="16"/>
      <c r="L742" s="16"/>
      <c r="M742" s="16"/>
      <c r="AH742" s="16"/>
      <c r="AI742" s="16"/>
      <c r="AJ742" s="16"/>
      <c r="AK742" s="16"/>
      <c r="AL742" s="16"/>
      <c r="AM742" s="16"/>
      <c r="AN742" s="16"/>
      <c r="AO742" s="16"/>
      <c r="AP742" s="16"/>
      <c r="AQ742" s="16"/>
      <c r="AR742" s="16"/>
      <c r="AS742" s="16"/>
    </row>
    <row r="743" spans="1:45" s="8" customFormat="1" x14ac:dyDescent="0.35">
      <c r="A743" s="16"/>
      <c r="B743" s="16"/>
      <c r="C743" s="16"/>
      <c r="D743" s="16"/>
      <c r="E743" s="16"/>
      <c r="F743" s="16"/>
      <c r="G743" s="16"/>
      <c r="H743" s="16"/>
      <c r="I743" s="16"/>
      <c r="J743" s="16"/>
      <c r="K743" s="16"/>
      <c r="L743" s="16"/>
      <c r="M743" s="16"/>
      <c r="AH743" s="16"/>
      <c r="AI743" s="16"/>
      <c r="AJ743" s="16"/>
      <c r="AK743" s="16"/>
      <c r="AL743" s="16"/>
      <c r="AM743" s="16"/>
      <c r="AN743" s="16"/>
      <c r="AO743" s="16"/>
      <c r="AP743" s="16"/>
      <c r="AQ743" s="16"/>
      <c r="AR743" s="16"/>
      <c r="AS743" s="16"/>
    </row>
    <row r="744" spans="1:45" s="8" customFormat="1" x14ac:dyDescent="0.35">
      <c r="A744" s="16"/>
      <c r="B744" s="16"/>
      <c r="C744" s="16"/>
      <c r="D744" s="16"/>
      <c r="E744" s="16"/>
      <c r="F744" s="16"/>
      <c r="G744" s="16"/>
      <c r="H744" s="16"/>
      <c r="I744" s="16"/>
      <c r="J744" s="16"/>
      <c r="K744" s="16"/>
      <c r="L744" s="16"/>
      <c r="M744" s="16"/>
      <c r="AH744" s="16"/>
      <c r="AI744" s="16"/>
      <c r="AJ744" s="16"/>
      <c r="AK744" s="16"/>
      <c r="AL744" s="16"/>
      <c r="AM744" s="16"/>
      <c r="AN744" s="16"/>
      <c r="AO744" s="16"/>
      <c r="AP744" s="16"/>
      <c r="AQ744" s="16"/>
      <c r="AR744" s="16"/>
      <c r="AS744" s="16"/>
    </row>
    <row r="745" spans="1:45" s="8" customFormat="1" x14ac:dyDescent="0.35">
      <c r="A745" s="16"/>
      <c r="B745" s="16"/>
      <c r="C745" s="16"/>
      <c r="D745" s="16"/>
      <c r="E745" s="16"/>
      <c r="F745" s="16"/>
      <c r="G745" s="16"/>
      <c r="H745" s="16"/>
      <c r="I745" s="16"/>
      <c r="J745" s="16"/>
      <c r="K745" s="16"/>
      <c r="L745" s="16"/>
      <c r="M745" s="16"/>
      <c r="AH745" s="16"/>
      <c r="AI745" s="16"/>
      <c r="AJ745" s="16"/>
      <c r="AK745" s="16"/>
      <c r="AL745" s="16"/>
      <c r="AM745" s="16"/>
      <c r="AN745" s="16"/>
      <c r="AO745" s="16"/>
      <c r="AP745" s="16"/>
      <c r="AQ745" s="16"/>
      <c r="AR745" s="16"/>
      <c r="AS745" s="16"/>
    </row>
    <row r="746" spans="1:45" s="8" customFormat="1" x14ac:dyDescent="0.35">
      <c r="A746" s="16"/>
      <c r="B746" s="16"/>
      <c r="C746" s="16"/>
      <c r="D746" s="16"/>
      <c r="E746" s="16"/>
      <c r="F746" s="16"/>
      <c r="G746" s="16"/>
      <c r="H746" s="16"/>
      <c r="I746" s="16"/>
      <c r="J746" s="16"/>
      <c r="K746" s="16"/>
      <c r="L746" s="16"/>
      <c r="M746" s="16"/>
      <c r="AH746" s="16"/>
      <c r="AI746" s="16"/>
      <c r="AJ746" s="16"/>
      <c r="AK746" s="16"/>
      <c r="AL746" s="16"/>
      <c r="AM746" s="16"/>
      <c r="AN746" s="16"/>
      <c r="AO746" s="16"/>
      <c r="AP746" s="16"/>
      <c r="AQ746" s="16"/>
      <c r="AR746" s="16"/>
      <c r="AS746" s="16"/>
    </row>
    <row r="747" spans="1:45" s="8" customFormat="1" x14ac:dyDescent="0.35">
      <c r="A747" s="16"/>
      <c r="B747" s="16"/>
      <c r="C747" s="16"/>
      <c r="D747" s="16"/>
      <c r="E747" s="16"/>
      <c r="F747" s="16"/>
      <c r="G747" s="16"/>
      <c r="H747" s="16"/>
      <c r="I747" s="16"/>
      <c r="J747" s="16"/>
      <c r="K747" s="16"/>
      <c r="L747" s="16"/>
      <c r="M747" s="16"/>
      <c r="AH747" s="16"/>
      <c r="AI747" s="16"/>
      <c r="AJ747" s="16"/>
      <c r="AK747" s="16"/>
      <c r="AL747" s="16"/>
      <c r="AM747" s="16"/>
      <c r="AN747" s="16"/>
      <c r="AO747" s="16"/>
      <c r="AP747" s="16"/>
      <c r="AQ747" s="16"/>
      <c r="AR747" s="16"/>
      <c r="AS747" s="16"/>
    </row>
    <row r="748" spans="1:45" s="8" customFormat="1" x14ac:dyDescent="0.35">
      <c r="A748" s="16"/>
      <c r="B748" s="16"/>
      <c r="C748" s="16"/>
      <c r="D748" s="16"/>
      <c r="E748" s="16"/>
      <c r="F748" s="16"/>
      <c r="G748" s="16"/>
      <c r="H748" s="16"/>
      <c r="I748" s="16"/>
      <c r="J748" s="16"/>
      <c r="K748" s="16"/>
      <c r="L748" s="16"/>
      <c r="M748" s="16"/>
      <c r="AH748" s="16"/>
      <c r="AI748" s="16"/>
      <c r="AJ748" s="16"/>
      <c r="AK748" s="16"/>
      <c r="AL748" s="16"/>
      <c r="AM748" s="16"/>
      <c r="AN748" s="16"/>
      <c r="AO748" s="16"/>
      <c r="AP748" s="16"/>
      <c r="AQ748" s="16"/>
      <c r="AR748" s="16"/>
      <c r="AS748" s="16"/>
    </row>
    <row r="749" spans="1:45" s="8" customFormat="1" x14ac:dyDescent="0.35">
      <c r="A749" s="16"/>
      <c r="B749" s="16"/>
      <c r="C749" s="16"/>
      <c r="D749" s="16"/>
      <c r="E749" s="16"/>
      <c r="F749" s="16"/>
      <c r="G749" s="16"/>
      <c r="H749" s="16"/>
      <c r="I749" s="16"/>
      <c r="J749" s="16"/>
      <c r="K749" s="16"/>
      <c r="L749" s="16"/>
      <c r="M749" s="16"/>
      <c r="AH749" s="16"/>
      <c r="AI749" s="16"/>
      <c r="AJ749" s="16"/>
      <c r="AK749" s="16"/>
      <c r="AL749" s="16"/>
      <c r="AM749" s="16"/>
      <c r="AN749" s="16"/>
      <c r="AO749" s="16"/>
      <c r="AP749" s="16"/>
      <c r="AQ749" s="16"/>
      <c r="AR749" s="16"/>
      <c r="AS749" s="16"/>
    </row>
    <row r="750" spans="1:45" s="8" customFormat="1" x14ac:dyDescent="0.35">
      <c r="A750" s="16"/>
      <c r="B750" s="16"/>
      <c r="C750" s="16"/>
      <c r="D750" s="16"/>
      <c r="E750" s="16"/>
      <c r="F750" s="16"/>
      <c r="G750" s="16"/>
      <c r="H750" s="16"/>
      <c r="I750" s="16"/>
      <c r="J750" s="16"/>
      <c r="K750" s="16"/>
      <c r="L750" s="16"/>
      <c r="M750" s="16"/>
      <c r="AH750" s="16"/>
      <c r="AI750" s="16"/>
      <c r="AJ750" s="16"/>
      <c r="AK750" s="16"/>
      <c r="AL750" s="16"/>
      <c r="AM750" s="16"/>
      <c r="AN750" s="16"/>
      <c r="AO750" s="16"/>
      <c r="AP750" s="16"/>
      <c r="AQ750" s="16"/>
      <c r="AR750" s="16"/>
      <c r="AS750" s="16"/>
    </row>
    <row r="751" spans="1:45" s="8" customFormat="1" x14ac:dyDescent="0.35">
      <c r="A751" s="16"/>
      <c r="B751" s="16"/>
      <c r="C751" s="16"/>
      <c r="D751" s="16"/>
      <c r="E751" s="16"/>
      <c r="F751" s="16"/>
      <c r="G751" s="16"/>
      <c r="H751" s="16"/>
      <c r="I751" s="16"/>
      <c r="J751" s="16"/>
      <c r="K751" s="16"/>
      <c r="L751" s="16"/>
      <c r="M751" s="16"/>
      <c r="AH751" s="16"/>
      <c r="AI751" s="16"/>
      <c r="AJ751" s="16"/>
      <c r="AK751" s="16"/>
      <c r="AL751" s="16"/>
      <c r="AM751" s="16"/>
      <c r="AN751" s="16"/>
      <c r="AO751" s="16"/>
      <c r="AP751" s="16"/>
      <c r="AQ751" s="16"/>
      <c r="AR751" s="16"/>
      <c r="AS751" s="16"/>
    </row>
    <row r="752" spans="1:45" s="8" customFormat="1" x14ac:dyDescent="0.35">
      <c r="A752" s="16"/>
      <c r="B752" s="16"/>
      <c r="C752" s="16"/>
      <c r="D752" s="16"/>
      <c r="E752" s="16"/>
      <c r="F752" s="16"/>
      <c r="G752" s="16"/>
      <c r="H752" s="16"/>
      <c r="I752" s="16"/>
      <c r="J752" s="16"/>
      <c r="K752" s="16"/>
      <c r="L752" s="16"/>
      <c r="M752" s="16"/>
      <c r="AH752" s="16"/>
      <c r="AI752" s="16"/>
      <c r="AJ752" s="16"/>
      <c r="AK752" s="16"/>
      <c r="AL752" s="16"/>
      <c r="AM752" s="16"/>
      <c r="AN752" s="16"/>
      <c r="AO752" s="16"/>
      <c r="AP752" s="16"/>
      <c r="AQ752" s="16"/>
      <c r="AR752" s="16"/>
      <c r="AS752" s="16"/>
    </row>
    <row r="753" spans="1:45" s="8" customFormat="1" x14ac:dyDescent="0.35">
      <c r="A753" s="16"/>
      <c r="B753" s="16"/>
      <c r="C753" s="16"/>
      <c r="D753" s="16"/>
      <c r="E753" s="16"/>
      <c r="F753" s="16"/>
      <c r="G753" s="16"/>
      <c r="H753" s="16"/>
      <c r="I753" s="16"/>
      <c r="J753" s="16"/>
      <c r="K753" s="16"/>
      <c r="L753" s="16"/>
      <c r="M753" s="16"/>
      <c r="AH753" s="16"/>
      <c r="AI753" s="16"/>
      <c r="AJ753" s="16"/>
      <c r="AK753" s="16"/>
      <c r="AL753" s="16"/>
      <c r="AM753" s="16"/>
      <c r="AN753" s="16"/>
      <c r="AO753" s="16"/>
      <c r="AP753" s="16"/>
      <c r="AQ753" s="16"/>
      <c r="AR753" s="16"/>
      <c r="AS753" s="16"/>
    </row>
    <row r="754" spans="1:45" s="8" customFormat="1" x14ac:dyDescent="0.35">
      <c r="A754" s="16"/>
      <c r="B754" s="16"/>
      <c r="C754" s="16"/>
      <c r="D754" s="16"/>
      <c r="E754" s="16"/>
      <c r="F754" s="16"/>
      <c r="G754" s="16"/>
      <c r="H754" s="16"/>
      <c r="I754" s="16"/>
      <c r="J754" s="16"/>
      <c r="K754" s="16"/>
      <c r="L754" s="16"/>
      <c r="M754" s="16"/>
      <c r="AH754" s="16"/>
      <c r="AI754" s="16"/>
      <c r="AJ754" s="16"/>
      <c r="AK754" s="16"/>
      <c r="AL754" s="16"/>
      <c r="AM754" s="16"/>
      <c r="AN754" s="16"/>
      <c r="AO754" s="16"/>
      <c r="AP754" s="16"/>
      <c r="AQ754" s="16"/>
      <c r="AR754" s="16"/>
      <c r="AS754" s="16"/>
    </row>
    <row r="755" spans="1:45" s="8" customFormat="1" x14ac:dyDescent="0.35">
      <c r="A755" s="16"/>
      <c r="B755" s="16"/>
      <c r="C755" s="16"/>
      <c r="D755" s="16"/>
      <c r="E755" s="16"/>
      <c r="F755" s="16"/>
      <c r="G755" s="16"/>
      <c r="H755" s="16"/>
      <c r="I755" s="16"/>
      <c r="J755" s="16"/>
      <c r="K755" s="16"/>
      <c r="L755" s="16"/>
      <c r="M755" s="16"/>
      <c r="AH755" s="16"/>
      <c r="AI755" s="16"/>
      <c r="AJ755" s="16"/>
      <c r="AK755" s="16"/>
      <c r="AL755" s="16"/>
      <c r="AM755" s="16"/>
      <c r="AN755" s="16"/>
      <c r="AO755" s="16"/>
      <c r="AP755" s="16"/>
      <c r="AQ755" s="16"/>
      <c r="AR755" s="16"/>
      <c r="AS755" s="16"/>
    </row>
    <row r="756" spans="1:45" s="8" customFormat="1" x14ac:dyDescent="0.35">
      <c r="A756" s="16"/>
      <c r="B756" s="16"/>
      <c r="C756" s="16"/>
      <c r="D756" s="16"/>
      <c r="E756" s="16"/>
      <c r="F756" s="16"/>
      <c r="G756" s="16"/>
      <c r="H756" s="16"/>
      <c r="I756" s="16"/>
      <c r="J756" s="16"/>
      <c r="K756" s="16"/>
      <c r="L756" s="16"/>
      <c r="M756" s="16"/>
      <c r="AH756" s="16"/>
      <c r="AI756" s="16"/>
      <c r="AJ756" s="16"/>
      <c r="AK756" s="16"/>
      <c r="AL756" s="16"/>
      <c r="AM756" s="16"/>
      <c r="AN756" s="16"/>
      <c r="AO756" s="16"/>
      <c r="AP756" s="16"/>
      <c r="AQ756" s="16"/>
      <c r="AR756" s="16"/>
      <c r="AS756" s="16"/>
    </row>
    <row r="757" spans="1:45" s="8" customFormat="1" x14ac:dyDescent="0.35">
      <c r="A757" s="16"/>
      <c r="B757" s="16"/>
      <c r="C757" s="16"/>
      <c r="D757" s="16"/>
      <c r="E757" s="16"/>
      <c r="F757" s="16"/>
      <c r="G757" s="16"/>
      <c r="H757" s="16"/>
      <c r="I757" s="16"/>
      <c r="J757" s="16"/>
      <c r="K757" s="16"/>
      <c r="L757" s="16"/>
      <c r="M757" s="16"/>
      <c r="AH757" s="16"/>
      <c r="AI757" s="16"/>
      <c r="AJ757" s="16"/>
      <c r="AK757" s="16"/>
      <c r="AL757" s="16"/>
      <c r="AM757" s="16"/>
      <c r="AN757" s="16"/>
      <c r="AO757" s="16"/>
      <c r="AP757" s="16"/>
      <c r="AQ757" s="16"/>
      <c r="AR757" s="16"/>
      <c r="AS757" s="16"/>
    </row>
    <row r="758" spans="1:45" s="8" customFormat="1" x14ac:dyDescent="0.35">
      <c r="A758" s="16"/>
      <c r="B758" s="16"/>
      <c r="C758" s="16"/>
      <c r="D758" s="16"/>
      <c r="E758" s="16"/>
      <c r="F758" s="16"/>
      <c r="G758" s="16"/>
      <c r="H758" s="16"/>
      <c r="I758" s="16"/>
      <c r="J758" s="16"/>
      <c r="K758" s="16"/>
      <c r="L758" s="16"/>
      <c r="M758" s="16"/>
      <c r="AH758" s="16"/>
      <c r="AI758" s="16"/>
      <c r="AJ758" s="16"/>
      <c r="AK758" s="16"/>
      <c r="AL758" s="16"/>
      <c r="AM758" s="16"/>
      <c r="AN758" s="16"/>
      <c r="AO758" s="16"/>
      <c r="AP758" s="16"/>
      <c r="AQ758" s="16"/>
      <c r="AR758" s="16"/>
      <c r="AS758" s="16"/>
    </row>
    <row r="759" spans="1:45" s="8" customFormat="1" x14ac:dyDescent="0.35">
      <c r="A759" s="16"/>
      <c r="B759" s="16"/>
      <c r="C759" s="16"/>
      <c r="D759" s="16"/>
      <c r="E759" s="16"/>
      <c r="F759" s="16"/>
      <c r="G759" s="16"/>
      <c r="H759" s="16"/>
      <c r="I759" s="16"/>
      <c r="J759" s="16"/>
      <c r="K759" s="16"/>
      <c r="L759" s="16"/>
      <c r="M759" s="16"/>
      <c r="AH759" s="16"/>
      <c r="AI759" s="16"/>
      <c r="AJ759" s="16"/>
      <c r="AK759" s="16"/>
      <c r="AL759" s="16"/>
      <c r="AM759" s="16"/>
      <c r="AN759" s="16"/>
      <c r="AO759" s="16"/>
      <c r="AP759" s="16"/>
      <c r="AQ759" s="16"/>
      <c r="AR759" s="16"/>
      <c r="AS759" s="16"/>
    </row>
    <row r="760" spans="1:45" s="8" customFormat="1" x14ac:dyDescent="0.35">
      <c r="A760" s="16"/>
      <c r="B760" s="16"/>
      <c r="C760" s="16"/>
      <c r="D760" s="16"/>
      <c r="E760" s="16"/>
      <c r="F760" s="16"/>
      <c r="G760" s="16"/>
      <c r="H760" s="16"/>
      <c r="I760" s="16"/>
      <c r="J760" s="16"/>
      <c r="K760" s="16"/>
      <c r="L760" s="16"/>
      <c r="M760" s="16"/>
      <c r="AH760" s="16"/>
      <c r="AI760" s="16"/>
      <c r="AJ760" s="16"/>
      <c r="AK760" s="16"/>
      <c r="AL760" s="16"/>
      <c r="AM760" s="16"/>
      <c r="AN760" s="16"/>
      <c r="AO760" s="16"/>
      <c r="AP760" s="16"/>
      <c r="AQ760" s="16"/>
      <c r="AR760" s="16"/>
      <c r="AS760" s="16"/>
    </row>
    <row r="761" spans="1:45" s="8" customFormat="1" x14ac:dyDescent="0.35">
      <c r="A761" s="16"/>
      <c r="B761" s="16"/>
      <c r="C761" s="16"/>
      <c r="D761" s="16"/>
      <c r="E761" s="16"/>
      <c r="F761" s="16"/>
      <c r="G761" s="16"/>
      <c r="H761" s="16"/>
      <c r="I761" s="16"/>
      <c r="J761" s="16"/>
      <c r="K761" s="16"/>
      <c r="L761" s="16"/>
      <c r="M761" s="16"/>
      <c r="AH761" s="16"/>
      <c r="AI761" s="16"/>
      <c r="AJ761" s="16"/>
      <c r="AK761" s="16"/>
      <c r="AL761" s="16"/>
      <c r="AM761" s="16"/>
      <c r="AN761" s="16"/>
      <c r="AO761" s="16"/>
      <c r="AP761" s="16"/>
      <c r="AQ761" s="16"/>
      <c r="AR761" s="16"/>
      <c r="AS761" s="16"/>
    </row>
    <row r="762" spans="1:45" s="8" customFormat="1" x14ac:dyDescent="0.35">
      <c r="A762" s="16"/>
      <c r="B762" s="16"/>
      <c r="C762" s="16"/>
      <c r="D762" s="16"/>
      <c r="E762" s="16"/>
      <c r="F762" s="16"/>
      <c r="G762" s="16"/>
      <c r="H762" s="16"/>
      <c r="I762" s="16"/>
      <c r="J762" s="16"/>
      <c r="K762" s="16"/>
      <c r="L762" s="16"/>
      <c r="M762" s="16"/>
      <c r="AH762" s="16"/>
      <c r="AI762" s="16"/>
      <c r="AJ762" s="16"/>
      <c r="AK762" s="16"/>
      <c r="AL762" s="16"/>
      <c r="AM762" s="16"/>
      <c r="AN762" s="16"/>
      <c r="AO762" s="16"/>
      <c r="AP762" s="16"/>
      <c r="AQ762" s="16"/>
      <c r="AR762" s="16"/>
      <c r="AS762" s="16"/>
    </row>
    <row r="763" spans="1:45" s="8" customFormat="1" x14ac:dyDescent="0.35">
      <c r="A763" s="16"/>
      <c r="B763" s="16"/>
      <c r="C763" s="16"/>
      <c r="D763" s="16"/>
      <c r="E763" s="16"/>
      <c r="F763" s="16"/>
      <c r="G763" s="16"/>
      <c r="H763" s="16"/>
      <c r="I763" s="16"/>
      <c r="J763" s="16"/>
      <c r="K763" s="16"/>
      <c r="L763" s="16"/>
      <c r="M763" s="16"/>
      <c r="AH763" s="16"/>
      <c r="AI763" s="16"/>
      <c r="AJ763" s="16"/>
      <c r="AK763" s="16"/>
      <c r="AL763" s="16"/>
      <c r="AM763" s="16"/>
      <c r="AN763" s="16"/>
      <c r="AO763" s="16"/>
      <c r="AP763" s="16"/>
      <c r="AQ763" s="16"/>
      <c r="AR763" s="16"/>
      <c r="AS763" s="16"/>
    </row>
    <row r="764" spans="1:45" s="8" customFormat="1" x14ac:dyDescent="0.35">
      <c r="A764" s="16"/>
      <c r="B764" s="16"/>
      <c r="C764" s="16"/>
      <c r="D764" s="16"/>
      <c r="E764" s="16"/>
      <c r="F764" s="16"/>
      <c r="G764" s="16"/>
      <c r="H764" s="16"/>
      <c r="I764" s="16"/>
      <c r="J764" s="16"/>
      <c r="K764" s="16"/>
      <c r="L764" s="16"/>
      <c r="M764" s="16"/>
      <c r="AH764" s="16"/>
      <c r="AI764" s="16"/>
      <c r="AJ764" s="16"/>
      <c r="AK764" s="16"/>
      <c r="AL764" s="16"/>
      <c r="AM764" s="16"/>
      <c r="AN764" s="16"/>
      <c r="AO764" s="16"/>
      <c r="AP764" s="16"/>
      <c r="AQ764" s="16"/>
      <c r="AR764" s="16"/>
      <c r="AS764" s="16"/>
    </row>
    <row r="765" spans="1:45" s="8" customFormat="1" x14ac:dyDescent="0.35">
      <c r="A765" s="16"/>
      <c r="B765" s="16"/>
      <c r="C765" s="16"/>
      <c r="D765" s="16"/>
      <c r="E765" s="16"/>
      <c r="F765" s="16"/>
      <c r="G765" s="16"/>
      <c r="H765" s="16"/>
      <c r="I765" s="16"/>
      <c r="J765" s="16"/>
      <c r="K765" s="16"/>
      <c r="L765" s="16"/>
      <c r="M765" s="16"/>
      <c r="AH765" s="16"/>
      <c r="AI765" s="16"/>
      <c r="AJ765" s="16"/>
      <c r="AK765" s="16"/>
      <c r="AL765" s="16"/>
      <c r="AM765" s="16"/>
      <c r="AN765" s="16"/>
      <c r="AO765" s="16"/>
      <c r="AP765" s="16"/>
      <c r="AQ765" s="16"/>
      <c r="AR765" s="16"/>
      <c r="AS765" s="16"/>
    </row>
    <row r="766" spans="1:45" s="8" customFormat="1" x14ac:dyDescent="0.35">
      <c r="A766" s="16"/>
      <c r="B766" s="16"/>
      <c r="C766" s="16"/>
      <c r="D766" s="16"/>
      <c r="E766" s="16"/>
      <c r="F766" s="16"/>
      <c r="G766" s="16"/>
      <c r="H766" s="16"/>
      <c r="I766" s="16"/>
      <c r="J766" s="16"/>
      <c r="K766" s="16"/>
      <c r="L766" s="16"/>
      <c r="M766" s="16"/>
      <c r="AH766" s="16"/>
      <c r="AI766" s="16"/>
      <c r="AJ766" s="16"/>
      <c r="AK766" s="16"/>
      <c r="AL766" s="16"/>
      <c r="AM766" s="16"/>
      <c r="AN766" s="16"/>
      <c r="AO766" s="16"/>
      <c r="AP766" s="16"/>
      <c r="AQ766" s="16"/>
      <c r="AR766" s="16"/>
      <c r="AS766" s="16"/>
    </row>
    <row r="767" spans="1:45" s="8" customFormat="1" x14ac:dyDescent="0.35">
      <c r="A767" s="16"/>
      <c r="B767" s="16"/>
      <c r="C767" s="16"/>
      <c r="D767" s="16"/>
      <c r="E767" s="16"/>
      <c r="F767" s="16"/>
      <c r="G767" s="16"/>
      <c r="H767" s="16"/>
      <c r="I767" s="16"/>
      <c r="J767" s="16"/>
      <c r="K767" s="16"/>
      <c r="L767" s="16"/>
      <c r="M767" s="16"/>
      <c r="AH767" s="16"/>
      <c r="AI767" s="16"/>
      <c r="AJ767" s="16"/>
      <c r="AK767" s="16"/>
      <c r="AL767" s="16"/>
      <c r="AM767" s="16"/>
      <c r="AN767" s="16"/>
      <c r="AO767" s="16"/>
      <c r="AP767" s="16"/>
      <c r="AQ767" s="16"/>
      <c r="AR767" s="16"/>
      <c r="AS767" s="16"/>
    </row>
    <row r="768" spans="1:45" s="8" customFormat="1" x14ac:dyDescent="0.35">
      <c r="A768" s="16"/>
      <c r="B768" s="16"/>
      <c r="C768" s="16"/>
      <c r="D768" s="16"/>
      <c r="E768" s="16"/>
      <c r="F768" s="16"/>
      <c r="G768" s="16"/>
      <c r="H768" s="16"/>
      <c r="I768" s="16"/>
      <c r="J768" s="16"/>
      <c r="K768" s="16"/>
      <c r="L768" s="16"/>
      <c r="M768" s="16"/>
      <c r="AH768" s="16"/>
      <c r="AI768" s="16"/>
      <c r="AJ768" s="16"/>
      <c r="AK768" s="16"/>
      <c r="AL768" s="16"/>
      <c r="AM768" s="16"/>
      <c r="AN768" s="16"/>
      <c r="AO768" s="16"/>
      <c r="AP768" s="16"/>
      <c r="AQ768" s="16"/>
      <c r="AR768" s="16"/>
      <c r="AS768" s="16"/>
    </row>
    <row r="769" spans="1:45" s="8" customFormat="1" x14ac:dyDescent="0.35">
      <c r="A769" s="16"/>
      <c r="B769" s="16"/>
      <c r="C769" s="16"/>
      <c r="D769" s="16"/>
      <c r="E769" s="16"/>
      <c r="F769" s="16"/>
      <c r="G769" s="16"/>
      <c r="H769" s="16"/>
      <c r="I769" s="16"/>
      <c r="J769" s="16"/>
      <c r="K769" s="16"/>
      <c r="L769" s="16"/>
      <c r="M769" s="16"/>
      <c r="AH769" s="16"/>
      <c r="AI769" s="16"/>
      <c r="AJ769" s="16"/>
      <c r="AK769" s="16"/>
      <c r="AL769" s="16"/>
      <c r="AM769" s="16"/>
      <c r="AN769" s="16"/>
      <c r="AO769" s="16"/>
      <c r="AP769" s="16"/>
      <c r="AQ769" s="16"/>
      <c r="AR769" s="16"/>
      <c r="AS769" s="16"/>
    </row>
    <row r="770" spans="1:45" s="8" customFormat="1" x14ac:dyDescent="0.35">
      <c r="A770" s="16"/>
      <c r="B770" s="16"/>
      <c r="C770" s="16"/>
      <c r="D770" s="16"/>
      <c r="E770" s="16"/>
      <c r="F770" s="16"/>
      <c r="G770" s="16"/>
      <c r="H770" s="16"/>
      <c r="I770" s="16"/>
      <c r="J770" s="16"/>
      <c r="K770" s="16"/>
      <c r="L770" s="16"/>
      <c r="M770" s="16"/>
      <c r="AH770" s="16"/>
      <c r="AI770" s="16"/>
      <c r="AJ770" s="16"/>
      <c r="AK770" s="16"/>
      <c r="AL770" s="16"/>
      <c r="AM770" s="16"/>
      <c r="AN770" s="16"/>
      <c r="AO770" s="16"/>
      <c r="AP770" s="16"/>
      <c r="AQ770" s="16"/>
      <c r="AR770" s="16"/>
      <c r="AS770" s="16"/>
    </row>
    <row r="771" spans="1:45" s="8" customFormat="1" x14ac:dyDescent="0.35">
      <c r="A771" s="16"/>
      <c r="B771" s="16"/>
      <c r="C771" s="16"/>
      <c r="D771" s="16"/>
      <c r="E771" s="16"/>
      <c r="F771" s="16"/>
      <c r="G771" s="16"/>
      <c r="H771" s="16"/>
      <c r="I771" s="16"/>
      <c r="J771" s="16"/>
      <c r="K771" s="16"/>
      <c r="L771" s="16"/>
      <c r="M771" s="16"/>
      <c r="AH771" s="16"/>
      <c r="AI771" s="16"/>
      <c r="AJ771" s="16"/>
      <c r="AK771" s="16"/>
      <c r="AL771" s="16"/>
      <c r="AM771" s="16"/>
      <c r="AN771" s="16"/>
      <c r="AO771" s="16"/>
      <c r="AP771" s="16"/>
      <c r="AQ771" s="16"/>
      <c r="AR771" s="16"/>
      <c r="AS771" s="16"/>
    </row>
    <row r="772" spans="1:45" s="8" customFormat="1" x14ac:dyDescent="0.35">
      <c r="A772" s="16"/>
      <c r="B772" s="16"/>
      <c r="C772" s="16"/>
      <c r="D772" s="16"/>
      <c r="E772" s="16"/>
      <c r="F772" s="16"/>
      <c r="G772" s="16"/>
      <c r="H772" s="16"/>
      <c r="I772" s="16"/>
      <c r="J772" s="16"/>
      <c r="K772" s="16"/>
      <c r="L772" s="16"/>
      <c r="M772" s="16"/>
      <c r="AH772" s="16"/>
      <c r="AI772" s="16"/>
      <c r="AJ772" s="16"/>
      <c r="AK772" s="16"/>
      <c r="AL772" s="16"/>
      <c r="AM772" s="16"/>
      <c r="AN772" s="16"/>
      <c r="AO772" s="16"/>
      <c r="AP772" s="16"/>
      <c r="AQ772" s="16"/>
      <c r="AR772" s="16"/>
      <c r="AS772" s="16"/>
    </row>
    <row r="773" spans="1:45" s="8" customFormat="1" x14ac:dyDescent="0.35">
      <c r="A773" s="16"/>
      <c r="B773" s="16"/>
      <c r="C773" s="16"/>
      <c r="D773" s="16"/>
      <c r="E773" s="16"/>
      <c r="F773" s="16"/>
      <c r="G773" s="16"/>
      <c r="H773" s="16"/>
      <c r="I773" s="16"/>
      <c r="J773" s="16"/>
      <c r="K773" s="16"/>
      <c r="L773" s="16"/>
      <c r="M773" s="16"/>
      <c r="AH773" s="16"/>
      <c r="AI773" s="16"/>
      <c r="AJ773" s="16"/>
      <c r="AK773" s="16"/>
      <c r="AL773" s="16"/>
      <c r="AM773" s="16"/>
      <c r="AN773" s="16"/>
      <c r="AO773" s="16"/>
      <c r="AP773" s="16"/>
      <c r="AQ773" s="16"/>
      <c r="AR773" s="16"/>
      <c r="AS773" s="16"/>
    </row>
    <row r="774" spans="1:45" s="8" customFormat="1" x14ac:dyDescent="0.35">
      <c r="A774" s="16"/>
      <c r="B774" s="16"/>
      <c r="C774" s="16"/>
      <c r="D774" s="16"/>
      <c r="E774" s="16"/>
      <c r="F774" s="16"/>
      <c r="G774" s="16"/>
      <c r="H774" s="16"/>
      <c r="I774" s="16"/>
      <c r="J774" s="16"/>
      <c r="K774" s="16"/>
      <c r="L774" s="16"/>
      <c r="M774" s="16"/>
      <c r="AH774" s="16"/>
      <c r="AI774" s="16"/>
      <c r="AJ774" s="16"/>
      <c r="AK774" s="16"/>
      <c r="AL774" s="16"/>
      <c r="AM774" s="16"/>
      <c r="AN774" s="16"/>
      <c r="AO774" s="16"/>
      <c r="AP774" s="16"/>
      <c r="AQ774" s="16"/>
      <c r="AR774" s="16"/>
      <c r="AS774" s="16"/>
    </row>
    <row r="775" spans="1:45" s="8" customFormat="1" x14ac:dyDescent="0.35">
      <c r="A775" s="16"/>
      <c r="B775" s="16"/>
      <c r="C775" s="16"/>
      <c r="D775" s="16"/>
      <c r="E775" s="16"/>
      <c r="F775" s="16"/>
      <c r="G775" s="16"/>
      <c r="H775" s="16"/>
      <c r="I775" s="16"/>
      <c r="J775" s="16"/>
      <c r="K775" s="16"/>
      <c r="L775" s="16"/>
      <c r="M775" s="16"/>
      <c r="AH775" s="16"/>
      <c r="AI775" s="16"/>
      <c r="AJ775" s="16"/>
      <c r="AK775" s="16"/>
      <c r="AL775" s="16"/>
      <c r="AM775" s="16"/>
      <c r="AN775" s="16"/>
      <c r="AO775" s="16"/>
      <c r="AP775" s="16"/>
      <c r="AQ775" s="16"/>
      <c r="AR775" s="16"/>
      <c r="AS775" s="16"/>
    </row>
    <row r="776" spans="1:45" s="8" customFormat="1" x14ac:dyDescent="0.35">
      <c r="A776" s="16"/>
      <c r="B776" s="16"/>
      <c r="C776" s="16"/>
      <c r="D776" s="16"/>
      <c r="E776" s="16"/>
      <c r="F776" s="16"/>
      <c r="G776" s="16"/>
      <c r="H776" s="16"/>
      <c r="I776" s="16"/>
      <c r="J776" s="16"/>
      <c r="K776" s="16"/>
      <c r="L776" s="16"/>
      <c r="M776" s="16"/>
      <c r="AH776" s="16"/>
      <c r="AI776" s="16"/>
      <c r="AJ776" s="16"/>
      <c r="AK776" s="16"/>
      <c r="AL776" s="16"/>
      <c r="AM776" s="16"/>
      <c r="AN776" s="16"/>
      <c r="AO776" s="16"/>
      <c r="AP776" s="16"/>
      <c r="AQ776" s="16"/>
      <c r="AR776" s="16"/>
      <c r="AS776" s="16"/>
    </row>
    <row r="777" spans="1:45" s="8" customFormat="1" x14ac:dyDescent="0.35">
      <c r="A777" s="16"/>
      <c r="B777" s="16"/>
      <c r="C777" s="16"/>
      <c r="D777" s="16"/>
      <c r="E777" s="16"/>
      <c r="F777" s="16"/>
      <c r="G777" s="16"/>
      <c r="H777" s="16"/>
      <c r="I777" s="16"/>
      <c r="J777" s="16"/>
      <c r="K777" s="16"/>
      <c r="L777" s="16"/>
      <c r="M777" s="16"/>
      <c r="AH777" s="16"/>
      <c r="AI777" s="16"/>
      <c r="AJ777" s="16"/>
      <c r="AK777" s="16"/>
      <c r="AL777" s="16"/>
      <c r="AM777" s="16"/>
      <c r="AN777" s="16"/>
      <c r="AO777" s="16"/>
      <c r="AP777" s="16"/>
      <c r="AQ777" s="16"/>
      <c r="AR777" s="16"/>
      <c r="AS777" s="16"/>
    </row>
    <row r="778" spans="1:45" s="8" customFormat="1" x14ac:dyDescent="0.35">
      <c r="A778" s="16"/>
      <c r="B778" s="16"/>
      <c r="C778" s="16"/>
      <c r="D778" s="16"/>
      <c r="E778" s="16"/>
      <c r="F778" s="16"/>
      <c r="G778" s="16"/>
      <c r="H778" s="16"/>
      <c r="I778" s="16"/>
      <c r="J778" s="16"/>
      <c r="K778" s="16"/>
      <c r="L778" s="16"/>
      <c r="M778" s="16"/>
      <c r="AH778" s="16"/>
      <c r="AI778" s="16"/>
      <c r="AJ778" s="16"/>
      <c r="AK778" s="16"/>
      <c r="AL778" s="16"/>
      <c r="AM778" s="16"/>
      <c r="AN778" s="16"/>
      <c r="AO778" s="16"/>
      <c r="AP778" s="16"/>
      <c r="AQ778" s="16"/>
      <c r="AR778" s="16"/>
      <c r="AS778" s="16"/>
    </row>
    <row r="779" spans="1:45" s="8" customFormat="1" x14ac:dyDescent="0.35">
      <c r="A779" s="16"/>
      <c r="B779" s="16"/>
      <c r="C779" s="16"/>
      <c r="D779" s="16"/>
      <c r="E779" s="16"/>
      <c r="F779" s="16"/>
      <c r="G779" s="16"/>
      <c r="H779" s="16"/>
      <c r="I779" s="16"/>
      <c r="J779" s="16"/>
      <c r="K779" s="16"/>
      <c r="L779" s="16"/>
      <c r="M779" s="16"/>
      <c r="AH779" s="16"/>
      <c r="AI779" s="16"/>
      <c r="AJ779" s="16"/>
      <c r="AK779" s="16"/>
      <c r="AL779" s="16"/>
      <c r="AM779" s="16"/>
      <c r="AN779" s="16"/>
      <c r="AO779" s="16"/>
      <c r="AP779" s="16"/>
      <c r="AQ779" s="16"/>
      <c r="AR779" s="16"/>
      <c r="AS779" s="16"/>
    </row>
    <row r="780" spans="1:45" s="8" customFormat="1" x14ac:dyDescent="0.35">
      <c r="A780" s="16"/>
      <c r="B780" s="16"/>
      <c r="C780" s="16"/>
      <c r="D780" s="16"/>
      <c r="E780" s="16"/>
      <c r="F780" s="16"/>
      <c r="G780" s="16"/>
      <c r="H780" s="16"/>
      <c r="I780" s="16"/>
      <c r="J780" s="16"/>
      <c r="K780" s="16"/>
      <c r="L780" s="16"/>
      <c r="M780" s="16"/>
      <c r="AH780" s="16"/>
      <c r="AI780" s="16"/>
      <c r="AJ780" s="16"/>
      <c r="AK780" s="16"/>
      <c r="AL780" s="16"/>
      <c r="AM780" s="16"/>
      <c r="AN780" s="16"/>
      <c r="AO780" s="16"/>
      <c r="AP780" s="16"/>
      <c r="AQ780" s="16"/>
      <c r="AR780" s="16"/>
      <c r="AS780" s="16"/>
    </row>
    <row r="781" spans="1:45" s="8" customFormat="1" x14ac:dyDescent="0.35">
      <c r="A781" s="16"/>
      <c r="B781" s="16"/>
      <c r="C781" s="16"/>
      <c r="D781" s="16"/>
      <c r="E781" s="16"/>
      <c r="F781" s="16"/>
      <c r="G781" s="16"/>
      <c r="H781" s="16"/>
      <c r="I781" s="16"/>
      <c r="J781" s="16"/>
      <c r="K781" s="16"/>
      <c r="L781" s="16"/>
      <c r="M781" s="16"/>
      <c r="AH781" s="16"/>
      <c r="AI781" s="16"/>
      <c r="AJ781" s="16"/>
      <c r="AK781" s="16"/>
      <c r="AL781" s="16"/>
      <c r="AM781" s="16"/>
      <c r="AN781" s="16"/>
      <c r="AO781" s="16"/>
      <c r="AP781" s="16"/>
      <c r="AQ781" s="16"/>
      <c r="AR781" s="16"/>
      <c r="AS781" s="16"/>
    </row>
    <row r="782" spans="1:45" s="8" customFormat="1" x14ac:dyDescent="0.35">
      <c r="A782" s="16"/>
      <c r="B782" s="16"/>
      <c r="C782" s="16"/>
      <c r="D782" s="16"/>
      <c r="E782" s="16"/>
      <c r="F782" s="16"/>
      <c r="G782" s="16"/>
      <c r="H782" s="16"/>
      <c r="I782" s="16"/>
      <c r="J782" s="16"/>
      <c r="K782" s="16"/>
      <c r="L782" s="16"/>
      <c r="M782" s="16"/>
      <c r="AH782" s="16"/>
      <c r="AI782" s="16"/>
      <c r="AJ782" s="16"/>
      <c r="AK782" s="16"/>
      <c r="AL782" s="16"/>
      <c r="AM782" s="16"/>
      <c r="AN782" s="16"/>
      <c r="AO782" s="16"/>
      <c r="AP782" s="16"/>
      <c r="AQ782" s="16"/>
      <c r="AR782" s="16"/>
      <c r="AS782" s="16"/>
    </row>
    <row r="783" spans="1:45" s="8" customFormat="1" x14ac:dyDescent="0.35">
      <c r="A783" s="16"/>
      <c r="B783" s="16"/>
      <c r="C783" s="16"/>
      <c r="D783" s="16"/>
      <c r="E783" s="16"/>
      <c r="F783" s="16"/>
      <c r="G783" s="16"/>
      <c r="H783" s="16"/>
      <c r="I783" s="16"/>
      <c r="J783" s="16"/>
      <c r="K783" s="16"/>
      <c r="L783" s="16"/>
      <c r="M783" s="16"/>
      <c r="AH783" s="16"/>
      <c r="AI783" s="16"/>
      <c r="AJ783" s="16"/>
      <c r="AK783" s="16"/>
      <c r="AL783" s="16"/>
      <c r="AM783" s="16"/>
      <c r="AN783" s="16"/>
      <c r="AO783" s="16"/>
      <c r="AP783" s="16"/>
      <c r="AQ783" s="16"/>
      <c r="AR783" s="16"/>
      <c r="AS783" s="16"/>
    </row>
    <row r="784" spans="1:45" s="8" customFormat="1" x14ac:dyDescent="0.35">
      <c r="A784" s="16"/>
      <c r="B784" s="16"/>
      <c r="C784" s="16"/>
      <c r="D784" s="16"/>
      <c r="E784" s="16"/>
      <c r="F784" s="16"/>
      <c r="G784" s="16"/>
      <c r="H784" s="16"/>
      <c r="I784" s="16"/>
      <c r="J784" s="16"/>
      <c r="K784" s="16"/>
      <c r="L784" s="16"/>
      <c r="M784" s="16"/>
      <c r="AH784" s="16"/>
      <c r="AI784" s="16"/>
      <c r="AJ784" s="16"/>
      <c r="AK784" s="16"/>
      <c r="AL784" s="16"/>
      <c r="AM784" s="16"/>
      <c r="AN784" s="16"/>
      <c r="AO784" s="16"/>
      <c r="AP784" s="16"/>
      <c r="AQ784" s="16"/>
      <c r="AR784" s="16"/>
      <c r="AS784" s="16"/>
    </row>
    <row r="785" spans="1:45" s="8" customFormat="1" x14ac:dyDescent="0.35">
      <c r="A785" s="16"/>
      <c r="B785" s="16"/>
      <c r="C785" s="16"/>
      <c r="D785" s="16"/>
      <c r="E785" s="16"/>
      <c r="F785" s="16"/>
      <c r="G785" s="16"/>
      <c r="H785" s="16"/>
      <c r="I785" s="16"/>
      <c r="J785" s="16"/>
      <c r="K785" s="16"/>
      <c r="L785" s="16"/>
      <c r="M785" s="16"/>
      <c r="AH785" s="16"/>
      <c r="AI785" s="16"/>
      <c r="AJ785" s="16"/>
      <c r="AK785" s="16"/>
      <c r="AL785" s="16"/>
      <c r="AM785" s="16"/>
      <c r="AN785" s="16"/>
      <c r="AO785" s="16"/>
      <c r="AP785" s="16"/>
      <c r="AQ785" s="16"/>
      <c r="AR785" s="16"/>
      <c r="AS785" s="16"/>
    </row>
    <row r="786" spans="1:45" s="8" customFormat="1" x14ac:dyDescent="0.35">
      <c r="A786" s="16"/>
      <c r="B786" s="16"/>
      <c r="C786" s="16"/>
      <c r="D786" s="16"/>
      <c r="E786" s="16"/>
      <c r="F786" s="16"/>
      <c r="G786" s="16"/>
      <c r="H786" s="16"/>
      <c r="I786" s="16"/>
      <c r="J786" s="16"/>
      <c r="K786" s="16"/>
      <c r="L786" s="16"/>
      <c r="M786" s="16"/>
      <c r="AH786" s="16"/>
      <c r="AI786" s="16"/>
      <c r="AJ786" s="16"/>
      <c r="AK786" s="16"/>
      <c r="AL786" s="16"/>
      <c r="AM786" s="16"/>
      <c r="AN786" s="16"/>
      <c r="AO786" s="16"/>
      <c r="AP786" s="16"/>
      <c r="AQ786" s="16"/>
      <c r="AR786" s="16"/>
      <c r="AS786" s="16"/>
    </row>
    <row r="787" spans="1:45" s="8" customFormat="1" x14ac:dyDescent="0.35">
      <c r="A787" s="16"/>
      <c r="B787" s="16"/>
      <c r="C787" s="16"/>
      <c r="D787" s="16"/>
      <c r="E787" s="16"/>
      <c r="F787" s="16"/>
      <c r="G787" s="16"/>
      <c r="H787" s="16"/>
      <c r="I787" s="16"/>
      <c r="J787" s="16"/>
      <c r="K787" s="16"/>
      <c r="L787" s="16"/>
      <c r="M787" s="16"/>
      <c r="AH787" s="16"/>
      <c r="AI787" s="16"/>
      <c r="AJ787" s="16"/>
      <c r="AK787" s="16"/>
      <c r="AL787" s="16"/>
      <c r="AM787" s="16"/>
      <c r="AN787" s="16"/>
      <c r="AO787" s="16"/>
      <c r="AP787" s="16"/>
      <c r="AQ787" s="16"/>
      <c r="AR787" s="16"/>
      <c r="AS787" s="16"/>
    </row>
    <row r="788" spans="1:45" s="8" customFormat="1" x14ac:dyDescent="0.35">
      <c r="A788" s="16"/>
      <c r="B788" s="16"/>
      <c r="C788" s="16"/>
      <c r="D788" s="16"/>
      <c r="E788" s="16"/>
      <c r="F788" s="16"/>
      <c r="G788" s="16"/>
      <c r="H788" s="16"/>
      <c r="I788" s="16"/>
      <c r="J788" s="16"/>
      <c r="K788" s="16"/>
      <c r="L788" s="16"/>
      <c r="M788" s="16"/>
      <c r="AH788" s="16"/>
      <c r="AI788" s="16"/>
      <c r="AJ788" s="16"/>
      <c r="AK788" s="16"/>
      <c r="AL788" s="16"/>
      <c r="AM788" s="16"/>
      <c r="AN788" s="16"/>
      <c r="AO788" s="16"/>
      <c r="AP788" s="16"/>
      <c r="AQ788" s="16"/>
      <c r="AR788" s="16"/>
      <c r="AS788" s="16"/>
    </row>
    <row r="789" spans="1:45" s="8" customFormat="1" x14ac:dyDescent="0.35">
      <c r="A789" s="16"/>
      <c r="B789" s="16"/>
      <c r="C789" s="16"/>
      <c r="D789" s="16"/>
      <c r="E789" s="16"/>
      <c r="F789" s="16"/>
      <c r="G789" s="16"/>
      <c r="H789" s="16"/>
      <c r="I789" s="16"/>
      <c r="J789" s="16"/>
      <c r="K789" s="16"/>
      <c r="L789" s="16"/>
      <c r="M789" s="16"/>
      <c r="AH789" s="16"/>
      <c r="AI789" s="16"/>
      <c r="AJ789" s="16"/>
      <c r="AK789" s="16"/>
      <c r="AL789" s="16"/>
      <c r="AM789" s="16"/>
      <c r="AN789" s="16"/>
      <c r="AO789" s="16"/>
      <c r="AP789" s="16"/>
      <c r="AQ789" s="16"/>
      <c r="AR789" s="16"/>
      <c r="AS789" s="16"/>
    </row>
    <row r="790" spans="1:45" s="8" customFormat="1" x14ac:dyDescent="0.35">
      <c r="A790" s="16"/>
      <c r="B790" s="16"/>
      <c r="C790" s="16"/>
      <c r="D790" s="16"/>
      <c r="E790" s="16"/>
      <c r="F790" s="16"/>
      <c r="G790" s="16"/>
      <c r="H790" s="16"/>
      <c r="I790" s="16"/>
      <c r="J790" s="16"/>
      <c r="K790" s="16"/>
      <c r="L790" s="16"/>
      <c r="M790" s="16"/>
      <c r="AH790" s="16"/>
      <c r="AI790" s="16"/>
      <c r="AJ790" s="16"/>
      <c r="AK790" s="16"/>
      <c r="AL790" s="16"/>
      <c r="AM790" s="16"/>
      <c r="AN790" s="16"/>
      <c r="AO790" s="16"/>
      <c r="AP790" s="16"/>
      <c r="AQ790" s="16"/>
      <c r="AR790" s="16"/>
      <c r="AS790" s="16"/>
    </row>
    <row r="791" spans="1:45" s="8" customFormat="1" x14ac:dyDescent="0.35">
      <c r="A791" s="16"/>
      <c r="B791" s="16"/>
      <c r="C791" s="16"/>
      <c r="D791" s="16"/>
      <c r="E791" s="16"/>
      <c r="F791" s="16"/>
      <c r="G791" s="16"/>
      <c r="H791" s="16"/>
      <c r="I791" s="16"/>
      <c r="J791" s="16"/>
      <c r="K791" s="16"/>
      <c r="L791" s="16"/>
      <c r="M791" s="16"/>
      <c r="AH791" s="16"/>
      <c r="AI791" s="16"/>
      <c r="AJ791" s="16"/>
      <c r="AK791" s="16"/>
      <c r="AL791" s="16"/>
      <c r="AM791" s="16"/>
      <c r="AN791" s="16"/>
      <c r="AO791" s="16"/>
      <c r="AP791" s="16"/>
      <c r="AQ791" s="16"/>
      <c r="AR791" s="16"/>
      <c r="AS791" s="16"/>
    </row>
    <row r="792" spans="1:45" s="8" customFormat="1" x14ac:dyDescent="0.35">
      <c r="A792" s="16"/>
      <c r="B792" s="16"/>
      <c r="C792" s="16"/>
      <c r="D792" s="16"/>
      <c r="E792" s="16"/>
      <c r="F792" s="16"/>
      <c r="G792" s="16"/>
      <c r="H792" s="16"/>
      <c r="I792" s="16"/>
      <c r="J792" s="16"/>
      <c r="K792" s="16"/>
      <c r="L792" s="16"/>
      <c r="M792" s="16"/>
      <c r="AH792" s="16"/>
      <c r="AI792" s="16"/>
      <c r="AJ792" s="16"/>
      <c r="AK792" s="16"/>
      <c r="AL792" s="16"/>
      <c r="AM792" s="16"/>
      <c r="AN792" s="16"/>
      <c r="AO792" s="16"/>
      <c r="AP792" s="16"/>
      <c r="AQ792" s="16"/>
      <c r="AR792" s="16"/>
      <c r="AS792" s="16"/>
    </row>
    <row r="793" spans="1:45" s="8" customFormat="1" x14ac:dyDescent="0.35">
      <c r="A793" s="16"/>
      <c r="B793" s="16"/>
      <c r="C793" s="16"/>
      <c r="D793" s="16"/>
      <c r="E793" s="16"/>
      <c r="F793" s="16"/>
      <c r="G793" s="16"/>
      <c r="H793" s="16"/>
      <c r="I793" s="16"/>
      <c r="J793" s="16"/>
      <c r="K793" s="16"/>
      <c r="L793" s="16"/>
      <c r="M793" s="16"/>
      <c r="AH793" s="16"/>
      <c r="AI793" s="16"/>
      <c r="AJ793" s="16"/>
      <c r="AK793" s="16"/>
      <c r="AL793" s="16"/>
      <c r="AM793" s="16"/>
      <c r="AN793" s="16"/>
      <c r="AO793" s="16"/>
      <c r="AP793" s="16"/>
      <c r="AQ793" s="16"/>
      <c r="AR793" s="16"/>
      <c r="AS793" s="16"/>
    </row>
    <row r="794" spans="1:45" s="8" customFormat="1" x14ac:dyDescent="0.35">
      <c r="A794" s="16"/>
      <c r="B794" s="16"/>
      <c r="C794" s="16"/>
      <c r="D794" s="16"/>
      <c r="E794" s="16"/>
      <c r="F794" s="16"/>
      <c r="G794" s="16"/>
      <c r="H794" s="16"/>
      <c r="I794" s="16"/>
      <c r="J794" s="16"/>
      <c r="K794" s="16"/>
      <c r="L794" s="16"/>
      <c r="M794" s="16"/>
      <c r="AH794" s="16"/>
      <c r="AI794" s="16"/>
      <c r="AJ794" s="16"/>
      <c r="AK794" s="16"/>
      <c r="AL794" s="16"/>
      <c r="AM794" s="16"/>
      <c r="AN794" s="16"/>
      <c r="AO794" s="16"/>
      <c r="AP794" s="16"/>
      <c r="AQ794" s="16"/>
      <c r="AR794" s="16"/>
      <c r="AS794" s="16"/>
    </row>
    <row r="795" spans="1:45" s="8" customFormat="1" x14ac:dyDescent="0.35">
      <c r="A795" s="16"/>
      <c r="B795" s="16"/>
      <c r="C795" s="16"/>
      <c r="D795" s="16"/>
      <c r="E795" s="16"/>
      <c r="F795" s="16"/>
      <c r="G795" s="16"/>
      <c r="H795" s="16"/>
      <c r="I795" s="16"/>
      <c r="J795" s="16"/>
      <c r="K795" s="16"/>
      <c r="L795" s="16"/>
      <c r="M795" s="16"/>
      <c r="AH795" s="16"/>
      <c r="AI795" s="16"/>
      <c r="AJ795" s="16"/>
      <c r="AK795" s="16"/>
      <c r="AL795" s="16"/>
      <c r="AM795" s="16"/>
      <c r="AN795" s="16"/>
      <c r="AO795" s="16"/>
      <c r="AP795" s="16"/>
      <c r="AQ795" s="16"/>
      <c r="AR795" s="16"/>
      <c r="AS795" s="16"/>
    </row>
    <row r="796" spans="1:45" s="8" customFormat="1" x14ac:dyDescent="0.35">
      <c r="A796" s="16"/>
      <c r="B796" s="16"/>
      <c r="C796" s="16"/>
      <c r="D796" s="16"/>
      <c r="E796" s="16"/>
      <c r="F796" s="16"/>
      <c r="G796" s="16"/>
      <c r="H796" s="16"/>
      <c r="I796" s="16"/>
      <c r="J796" s="16"/>
      <c r="K796" s="16"/>
      <c r="L796" s="16"/>
      <c r="M796" s="16"/>
      <c r="AH796" s="16"/>
      <c r="AI796" s="16"/>
      <c r="AJ796" s="16"/>
      <c r="AK796" s="16"/>
      <c r="AL796" s="16"/>
      <c r="AM796" s="16"/>
      <c r="AN796" s="16"/>
      <c r="AO796" s="16"/>
      <c r="AP796" s="16"/>
      <c r="AQ796" s="16"/>
      <c r="AR796" s="16"/>
      <c r="AS796" s="16"/>
    </row>
    <row r="797" spans="1:45" s="8" customFormat="1" x14ac:dyDescent="0.35">
      <c r="A797" s="16"/>
      <c r="B797" s="16"/>
      <c r="C797" s="16"/>
      <c r="D797" s="16"/>
      <c r="E797" s="16"/>
      <c r="F797" s="16"/>
      <c r="G797" s="16"/>
      <c r="H797" s="16"/>
      <c r="I797" s="16"/>
      <c r="J797" s="16"/>
      <c r="K797" s="16"/>
      <c r="L797" s="16"/>
      <c r="M797" s="16"/>
      <c r="AH797" s="16"/>
      <c r="AI797" s="16"/>
      <c r="AJ797" s="16"/>
      <c r="AK797" s="16"/>
      <c r="AL797" s="16"/>
      <c r="AM797" s="16"/>
      <c r="AN797" s="16"/>
      <c r="AO797" s="16"/>
      <c r="AP797" s="16"/>
      <c r="AQ797" s="16"/>
      <c r="AR797" s="16"/>
      <c r="AS797" s="16"/>
    </row>
    <row r="798" spans="1:45" s="8" customFormat="1" x14ac:dyDescent="0.35">
      <c r="A798" s="16"/>
      <c r="B798" s="16"/>
      <c r="C798" s="16"/>
      <c r="D798" s="16"/>
      <c r="E798" s="16"/>
      <c r="F798" s="16"/>
      <c r="G798" s="16"/>
      <c r="H798" s="16"/>
      <c r="I798" s="16"/>
      <c r="J798" s="16"/>
      <c r="K798" s="16"/>
      <c r="L798" s="16"/>
      <c r="M798" s="16"/>
      <c r="AH798" s="16"/>
      <c r="AI798" s="16"/>
      <c r="AJ798" s="16"/>
      <c r="AK798" s="16"/>
      <c r="AL798" s="16"/>
      <c r="AM798" s="16"/>
      <c r="AN798" s="16"/>
      <c r="AO798" s="16"/>
      <c r="AP798" s="16"/>
      <c r="AQ798" s="16"/>
      <c r="AR798" s="16"/>
      <c r="AS798" s="16"/>
    </row>
    <row r="799" spans="1:45" s="8" customFormat="1" x14ac:dyDescent="0.35">
      <c r="A799" s="16"/>
      <c r="B799" s="16"/>
      <c r="C799" s="16"/>
      <c r="D799" s="16"/>
      <c r="E799" s="16"/>
      <c r="F799" s="16"/>
      <c r="G799" s="16"/>
      <c r="H799" s="16"/>
      <c r="I799" s="16"/>
      <c r="J799" s="16"/>
      <c r="K799" s="16"/>
      <c r="L799" s="16"/>
      <c r="M799" s="16"/>
      <c r="AH799" s="16"/>
      <c r="AI799" s="16"/>
      <c r="AJ799" s="16"/>
      <c r="AK799" s="16"/>
      <c r="AL799" s="16"/>
      <c r="AM799" s="16"/>
      <c r="AN799" s="16"/>
      <c r="AO799" s="16"/>
      <c r="AP799" s="16"/>
      <c r="AQ799" s="16"/>
      <c r="AR799" s="16"/>
      <c r="AS799" s="16"/>
    </row>
    <row r="800" spans="1:45" s="8" customFormat="1" x14ac:dyDescent="0.35">
      <c r="A800" s="16"/>
      <c r="B800" s="16"/>
      <c r="C800" s="16"/>
      <c r="D800" s="16"/>
      <c r="E800" s="16"/>
      <c r="F800" s="16"/>
      <c r="G800" s="16"/>
      <c r="H800" s="16"/>
      <c r="I800" s="16"/>
      <c r="J800" s="16"/>
      <c r="K800" s="16"/>
      <c r="L800" s="16"/>
      <c r="M800" s="16"/>
      <c r="AH800" s="16"/>
      <c r="AI800" s="16"/>
      <c r="AJ800" s="16"/>
      <c r="AK800" s="16"/>
      <c r="AL800" s="16"/>
      <c r="AM800" s="16"/>
      <c r="AN800" s="16"/>
      <c r="AO800" s="16"/>
      <c r="AP800" s="16"/>
      <c r="AQ800" s="16"/>
      <c r="AR800" s="16"/>
      <c r="AS800" s="16"/>
    </row>
    <row r="801" spans="1:45" s="8" customFormat="1" x14ac:dyDescent="0.35">
      <c r="A801" s="16"/>
      <c r="B801" s="16"/>
      <c r="C801" s="16"/>
      <c r="D801" s="16"/>
      <c r="E801" s="16"/>
      <c r="F801" s="16"/>
      <c r="G801" s="16"/>
      <c r="H801" s="16"/>
      <c r="I801" s="16"/>
      <c r="J801" s="16"/>
      <c r="K801" s="16"/>
      <c r="L801" s="16"/>
      <c r="M801" s="16"/>
      <c r="AH801" s="16"/>
      <c r="AI801" s="16"/>
      <c r="AJ801" s="16"/>
      <c r="AK801" s="16"/>
      <c r="AL801" s="16"/>
      <c r="AM801" s="16"/>
      <c r="AN801" s="16"/>
      <c r="AO801" s="16"/>
      <c r="AP801" s="16"/>
      <c r="AQ801" s="16"/>
      <c r="AR801" s="16"/>
      <c r="AS801" s="16"/>
    </row>
    <row r="802" spans="1:45" s="8" customFormat="1" x14ac:dyDescent="0.35">
      <c r="A802" s="16"/>
      <c r="B802" s="16"/>
      <c r="C802" s="16"/>
      <c r="D802" s="16"/>
      <c r="E802" s="16"/>
      <c r="F802" s="16"/>
      <c r="G802" s="16"/>
      <c r="H802" s="16"/>
      <c r="I802" s="16"/>
      <c r="J802" s="16"/>
      <c r="K802" s="16"/>
      <c r="L802" s="16"/>
      <c r="M802" s="16"/>
      <c r="AH802" s="16"/>
      <c r="AI802" s="16"/>
      <c r="AJ802" s="16"/>
      <c r="AK802" s="16"/>
      <c r="AL802" s="16"/>
      <c r="AM802" s="16"/>
      <c r="AN802" s="16"/>
      <c r="AO802" s="16"/>
      <c r="AP802" s="16"/>
      <c r="AQ802" s="16"/>
      <c r="AR802" s="16"/>
      <c r="AS802" s="16"/>
    </row>
    <row r="803" spans="1:45" s="8" customFormat="1" x14ac:dyDescent="0.35">
      <c r="A803" s="16"/>
      <c r="B803" s="16"/>
      <c r="C803" s="16"/>
      <c r="D803" s="16"/>
      <c r="E803" s="16"/>
      <c r="F803" s="16"/>
      <c r="G803" s="16"/>
      <c r="H803" s="16"/>
      <c r="I803" s="16"/>
      <c r="J803" s="16"/>
      <c r="K803" s="16"/>
      <c r="L803" s="16"/>
      <c r="M803" s="16"/>
      <c r="AH803" s="16"/>
      <c r="AI803" s="16"/>
      <c r="AJ803" s="16"/>
      <c r="AK803" s="16"/>
      <c r="AL803" s="16"/>
      <c r="AM803" s="16"/>
      <c r="AN803" s="16"/>
      <c r="AO803" s="16"/>
      <c r="AP803" s="16"/>
      <c r="AQ803" s="16"/>
      <c r="AR803" s="16"/>
      <c r="AS803" s="16"/>
    </row>
    <row r="804" spans="1:45" s="8" customFormat="1" x14ac:dyDescent="0.35">
      <c r="A804" s="16"/>
      <c r="B804" s="16"/>
      <c r="C804" s="16"/>
      <c r="D804" s="16"/>
      <c r="E804" s="16"/>
      <c r="F804" s="16"/>
      <c r="G804" s="16"/>
      <c r="H804" s="16"/>
      <c r="I804" s="16"/>
      <c r="J804" s="16"/>
      <c r="K804" s="16"/>
      <c r="L804" s="16"/>
      <c r="M804" s="16"/>
      <c r="AH804" s="16"/>
      <c r="AI804" s="16"/>
      <c r="AJ804" s="16"/>
      <c r="AK804" s="16"/>
      <c r="AL804" s="16"/>
      <c r="AM804" s="16"/>
      <c r="AN804" s="16"/>
      <c r="AO804" s="16"/>
      <c r="AP804" s="16"/>
      <c r="AQ804" s="16"/>
      <c r="AR804" s="16"/>
      <c r="AS804" s="16"/>
    </row>
    <row r="805" spans="1:45" s="8" customFormat="1" x14ac:dyDescent="0.35">
      <c r="A805" s="16"/>
      <c r="B805" s="16"/>
      <c r="C805" s="16"/>
      <c r="D805" s="16"/>
      <c r="E805" s="16"/>
      <c r="F805" s="16"/>
      <c r="G805" s="16"/>
      <c r="H805" s="16"/>
      <c r="I805" s="16"/>
      <c r="J805" s="16"/>
      <c r="K805" s="16"/>
      <c r="L805" s="16"/>
      <c r="M805" s="16"/>
      <c r="AH805" s="16"/>
      <c r="AI805" s="16"/>
      <c r="AJ805" s="16"/>
      <c r="AK805" s="16"/>
      <c r="AL805" s="16"/>
      <c r="AM805" s="16"/>
      <c r="AN805" s="16"/>
      <c r="AO805" s="16"/>
      <c r="AP805" s="16"/>
      <c r="AQ805" s="16"/>
      <c r="AR805" s="16"/>
      <c r="AS805" s="16"/>
    </row>
    <row r="806" spans="1:45" s="8" customFormat="1" x14ac:dyDescent="0.35">
      <c r="A806" s="16"/>
      <c r="B806" s="16"/>
      <c r="C806" s="16"/>
      <c r="D806" s="16"/>
      <c r="E806" s="16"/>
      <c r="F806" s="16"/>
      <c r="G806" s="16"/>
      <c r="H806" s="16"/>
      <c r="I806" s="16"/>
      <c r="J806" s="16"/>
      <c r="K806" s="16"/>
      <c r="L806" s="16"/>
      <c r="M806" s="16"/>
      <c r="AH806" s="16"/>
      <c r="AI806" s="16"/>
      <c r="AJ806" s="16"/>
      <c r="AK806" s="16"/>
      <c r="AL806" s="16"/>
      <c r="AM806" s="16"/>
      <c r="AN806" s="16"/>
      <c r="AO806" s="16"/>
      <c r="AP806" s="16"/>
      <c r="AQ806" s="16"/>
      <c r="AR806" s="16"/>
      <c r="AS806" s="16"/>
    </row>
    <row r="807" spans="1:45" s="8" customFormat="1" x14ac:dyDescent="0.35">
      <c r="A807" s="16"/>
      <c r="B807" s="16"/>
      <c r="C807" s="16"/>
      <c r="D807" s="16"/>
      <c r="E807" s="16"/>
      <c r="F807" s="16"/>
      <c r="G807" s="16"/>
      <c r="H807" s="16"/>
      <c r="I807" s="16"/>
      <c r="J807" s="16"/>
      <c r="K807" s="16"/>
      <c r="L807" s="16"/>
      <c r="M807" s="16"/>
      <c r="AH807" s="16"/>
      <c r="AI807" s="16"/>
      <c r="AJ807" s="16"/>
      <c r="AK807" s="16"/>
      <c r="AL807" s="16"/>
      <c r="AM807" s="16"/>
      <c r="AN807" s="16"/>
      <c r="AO807" s="16"/>
      <c r="AP807" s="16"/>
      <c r="AQ807" s="16"/>
      <c r="AR807" s="16"/>
      <c r="AS807" s="16"/>
    </row>
    <row r="808" spans="1:45" s="8" customFormat="1" x14ac:dyDescent="0.35">
      <c r="A808" s="16"/>
      <c r="B808" s="16"/>
      <c r="C808" s="16"/>
      <c r="D808" s="16"/>
      <c r="E808" s="16"/>
      <c r="F808" s="16"/>
      <c r="G808" s="16"/>
      <c r="H808" s="16"/>
      <c r="I808" s="16"/>
      <c r="J808" s="16"/>
      <c r="K808" s="16"/>
      <c r="L808" s="16"/>
      <c r="M808" s="16"/>
      <c r="AH808" s="16"/>
      <c r="AI808" s="16"/>
      <c r="AJ808" s="16"/>
      <c r="AK808" s="16"/>
      <c r="AL808" s="16"/>
      <c r="AM808" s="16"/>
      <c r="AN808" s="16"/>
      <c r="AO808" s="16"/>
      <c r="AP808" s="16"/>
      <c r="AQ808" s="16"/>
      <c r="AR808" s="16"/>
      <c r="AS808" s="16"/>
    </row>
    <row r="809" spans="1:45" s="8" customFormat="1" x14ac:dyDescent="0.35">
      <c r="A809" s="16"/>
      <c r="B809" s="16"/>
      <c r="C809" s="16"/>
      <c r="D809" s="16"/>
      <c r="E809" s="16"/>
      <c r="F809" s="16"/>
      <c r="G809" s="16"/>
      <c r="H809" s="16"/>
      <c r="I809" s="16"/>
      <c r="J809" s="16"/>
      <c r="K809" s="16"/>
      <c r="L809" s="16"/>
      <c r="M809" s="16"/>
      <c r="AH809" s="16"/>
      <c r="AI809" s="16"/>
      <c r="AJ809" s="16"/>
      <c r="AK809" s="16"/>
      <c r="AL809" s="16"/>
      <c r="AM809" s="16"/>
      <c r="AN809" s="16"/>
      <c r="AO809" s="16"/>
      <c r="AP809" s="16"/>
      <c r="AQ809" s="16"/>
      <c r="AR809" s="16"/>
      <c r="AS809" s="16"/>
    </row>
    <row r="810" spans="1:45" s="8" customFormat="1" x14ac:dyDescent="0.35">
      <c r="A810" s="16"/>
      <c r="B810" s="16"/>
      <c r="C810" s="16"/>
      <c r="D810" s="16"/>
      <c r="E810" s="16"/>
      <c r="F810" s="16"/>
      <c r="G810" s="16"/>
      <c r="H810" s="16"/>
      <c r="I810" s="16"/>
      <c r="J810" s="16"/>
      <c r="K810" s="16"/>
      <c r="L810" s="16"/>
      <c r="M810" s="16"/>
      <c r="AH810" s="16"/>
      <c r="AI810" s="16"/>
      <c r="AJ810" s="16"/>
      <c r="AK810" s="16"/>
      <c r="AL810" s="16"/>
      <c r="AM810" s="16"/>
      <c r="AN810" s="16"/>
      <c r="AO810" s="16"/>
      <c r="AP810" s="16"/>
      <c r="AQ810" s="16"/>
      <c r="AR810" s="16"/>
      <c r="AS810" s="16"/>
    </row>
    <row r="811" spans="1:45" s="8" customFormat="1" x14ac:dyDescent="0.35">
      <c r="A811" s="16"/>
      <c r="B811" s="16"/>
      <c r="C811" s="16"/>
      <c r="D811" s="16"/>
      <c r="E811" s="16"/>
      <c r="F811" s="16"/>
      <c r="G811" s="16"/>
      <c r="H811" s="16"/>
      <c r="I811" s="16"/>
      <c r="J811" s="16"/>
      <c r="K811" s="16"/>
      <c r="L811" s="16"/>
      <c r="M811" s="16"/>
      <c r="AH811" s="16"/>
      <c r="AI811" s="16"/>
      <c r="AJ811" s="16"/>
      <c r="AK811" s="16"/>
      <c r="AL811" s="16"/>
      <c r="AM811" s="16"/>
      <c r="AN811" s="16"/>
      <c r="AO811" s="16"/>
      <c r="AP811" s="16"/>
      <c r="AQ811" s="16"/>
      <c r="AR811" s="16"/>
      <c r="AS811" s="16"/>
    </row>
    <row r="812" spans="1:45" s="8" customFormat="1" x14ac:dyDescent="0.35">
      <c r="A812" s="16"/>
      <c r="B812" s="16"/>
      <c r="C812" s="16"/>
      <c r="D812" s="16"/>
      <c r="E812" s="16"/>
      <c r="F812" s="16"/>
      <c r="G812" s="16"/>
      <c r="H812" s="16"/>
      <c r="I812" s="16"/>
      <c r="J812" s="16"/>
      <c r="K812" s="16"/>
      <c r="L812" s="16"/>
      <c r="M812" s="16"/>
      <c r="AH812" s="16"/>
      <c r="AI812" s="16"/>
      <c r="AJ812" s="16"/>
      <c r="AK812" s="16"/>
      <c r="AL812" s="16"/>
      <c r="AM812" s="16"/>
      <c r="AN812" s="16"/>
      <c r="AO812" s="16"/>
      <c r="AP812" s="16"/>
      <c r="AQ812" s="16"/>
      <c r="AR812" s="16"/>
      <c r="AS812" s="16"/>
    </row>
    <row r="813" spans="1:45" s="8" customFormat="1" x14ac:dyDescent="0.35">
      <c r="A813" s="16"/>
      <c r="B813" s="16"/>
      <c r="C813" s="16"/>
      <c r="D813" s="16"/>
      <c r="E813" s="16"/>
      <c r="F813" s="16"/>
      <c r="G813" s="16"/>
      <c r="H813" s="16"/>
      <c r="I813" s="16"/>
      <c r="J813" s="16"/>
      <c r="K813" s="16"/>
      <c r="L813" s="16"/>
      <c r="M813" s="16"/>
      <c r="AH813" s="16"/>
      <c r="AI813" s="16"/>
      <c r="AJ813" s="16"/>
      <c r="AK813" s="16"/>
      <c r="AL813" s="16"/>
      <c r="AM813" s="16"/>
      <c r="AN813" s="16"/>
      <c r="AO813" s="16"/>
      <c r="AP813" s="16"/>
      <c r="AQ813" s="16"/>
      <c r="AR813" s="16"/>
      <c r="AS813" s="16"/>
    </row>
    <row r="814" spans="1:45" s="8" customFormat="1" x14ac:dyDescent="0.35">
      <c r="A814" s="16"/>
      <c r="B814" s="16"/>
      <c r="C814" s="16"/>
      <c r="D814" s="16"/>
      <c r="E814" s="16"/>
      <c r="F814" s="16"/>
      <c r="G814" s="16"/>
      <c r="H814" s="16"/>
      <c r="I814" s="16"/>
      <c r="J814" s="16"/>
      <c r="K814" s="16"/>
      <c r="L814" s="16"/>
      <c r="M814" s="16"/>
      <c r="AH814" s="16"/>
      <c r="AI814" s="16"/>
      <c r="AJ814" s="16"/>
      <c r="AK814" s="16"/>
      <c r="AL814" s="16"/>
      <c r="AM814" s="16"/>
      <c r="AN814" s="16"/>
      <c r="AO814" s="16"/>
      <c r="AP814" s="16"/>
      <c r="AQ814" s="16"/>
      <c r="AR814" s="16"/>
      <c r="AS814" s="16"/>
    </row>
    <row r="815" spans="1:45" s="8" customFormat="1" x14ac:dyDescent="0.35">
      <c r="A815" s="16"/>
      <c r="B815" s="16"/>
      <c r="C815" s="16"/>
      <c r="D815" s="16"/>
      <c r="E815" s="16"/>
      <c r="F815" s="16"/>
      <c r="G815" s="16"/>
      <c r="H815" s="16"/>
      <c r="I815" s="16"/>
      <c r="J815" s="16"/>
      <c r="K815" s="16"/>
      <c r="L815" s="16"/>
      <c r="M815" s="16"/>
      <c r="AH815" s="16"/>
      <c r="AI815" s="16"/>
      <c r="AJ815" s="16"/>
      <c r="AK815" s="16"/>
      <c r="AL815" s="16"/>
      <c r="AM815" s="16"/>
      <c r="AN815" s="16"/>
      <c r="AO815" s="16"/>
      <c r="AP815" s="16"/>
      <c r="AQ815" s="16"/>
      <c r="AR815" s="16"/>
      <c r="AS815" s="16"/>
    </row>
    <row r="816" spans="1:45" s="8" customFormat="1" x14ac:dyDescent="0.35">
      <c r="A816" s="16"/>
      <c r="B816" s="16"/>
      <c r="C816" s="16"/>
      <c r="D816" s="16"/>
      <c r="E816" s="16"/>
      <c r="F816" s="16"/>
      <c r="G816" s="16"/>
      <c r="H816" s="16"/>
      <c r="I816" s="16"/>
      <c r="J816" s="16"/>
      <c r="K816" s="16"/>
      <c r="L816" s="16"/>
      <c r="M816" s="16"/>
      <c r="AH816" s="16"/>
      <c r="AI816" s="16"/>
      <c r="AJ816" s="16"/>
      <c r="AK816" s="16"/>
      <c r="AL816" s="16"/>
      <c r="AM816" s="16"/>
      <c r="AN816" s="16"/>
      <c r="AO816" s="16"/>
      <c r="AP816" s="16"/>
      <c r="AQ816" s="16"/>
      <c r="AR816" s="16"/>
      <c r="AS816" s="16"/>
    </row>
    <row r="817" spans="1:45" s="8" customFormat="1" x14ac:dyDescent="0.35">
      <c r="A817" s="16"/>
      <c r="B817" s="16"/>
      <c r="C817" s="16"/>
      <c r="D817" s="16"/>
      <c r="E817" s="16"/>
      <c r="F817" s="16"/>
      <c r="G817" s="16"/>
      <c r="H817" s="16"/>
      <c r="I817" s="16"/>
      <c r="J817" s="16"/>
      <c r="K817" s="16"/>
      <c r="L817" s="16"/>
      <c r="M817" s="16"/>
      <c r="AH817" s="16"/>
      <c r="AI817" s="16"/>
      <c r="AJ817" s="16"/>
      <c r="AK817" s="16"/>
      <c r="AL817" s="16"/>
      <c r="AM817" s="16"/>
      <c r="AN817" s="16"/>
      <c r="AO817" s="16"/>
      <c r="AP817" s="16"/>
      <c r="AQ817" s="16"/>
      <c r="AR817" s="16"/>
      <c r="AS817" s="16"/>
    </row>
    <row r="818" spans="1:45" s="8" customFormat="1" x14ac:dyDescent="0.35">
      <c r="A818" s="16"/>
      <c r="B818" s="16"/>
      <c r="C818" s="16"/>
      <c r="D818" s="16"/>
      <c r="E818" s="16"/>
      <c r="F818" s="16"/>
      <c r="G818" s="16"/>
      <c r="H818" s="16"/>
      <c r="I818" s="16"/>
      <c r="J818" s="16"/>
      <c r="K818" s="16"/>
      <c r="L818" s="16"/>
      <c r="M818" s="16"/>
      <c r="AH818" s="16"/>
      <c r="AI818" s="16"/>
      <c r="AJ818" s="16"/>
      <c r="AK818" s="16"/>
      <c r="AL818" s="16"/>
      <c r="AM818" s="16"/>
      <c r="AN818" s="16"/>
      <c r="AO818" s="16"/>
      <c r="AP818" s="16"/>
      <c r="AQ818" s="16"/>
      <c r="AR818" s="16"/>
      <c r="AS818" s="16"/>
    </row>
    <row r="819" spans="1:45" s="8" customFormat="1" x14ac:dyDescent="0.35">
      <c r="A819" s="16"/>
      <c r="B819" s="16"/>
      <c r="C819" s="16"/>
      <c r="D819" s="16"/>
      <c r="E819" s="16"/>
      <c r="F819" s="16"/>
      <c r="G819" s="16"/>
      <c r="H819" s="16"/>
      <c r="I819" s="16"/>
      <c r="J819" s="16"/>
      <c r="K819" s="16"/>
      <c r="L819" s="16"/>
      <c r="M819" s="16"/>
      <c r="AH819" s="16"/>
      <c r="AI819" s="16"/>
      <c r="AJ819" s="16"/>
      <c r="AK819" s="16"/>
      <c r="AL819" s="16"/>
      <c r="AM819" s="16"/>
      <c r="AN819" s="16"/>
      <c r="AO819" s="16"/>
      <c r="AP819" s="16"/>
      <c r="AQ819" s="16"/>
      <c r="AR819" s="16"/>
      <c r="AS819" s="16"/>
    </row>
    <row r="820" spans="1:45" s="8" customFormat="1" x14ac:dyDescent="0.35">
      <c r="A820" s="16"/>
      <c r="B820" s="16"/>
      <c r="C820" s="16"/>
      <c r="D820" s="16"/>
      <c r="E820" s="16"/>
      <c r="F820" s="16"/>
      <c r="G820" s="16"/>
      <c r="H820" s="16"/>
      <c r="I820" s="16"/>
      <c r="J820" s="16"/>
      <c r="K820" s="16"/>
      <c r="L820" s="16"/>
      <c r="M820" s="16"/>
      <c r="AH820" s="16"/>
      <c r="AI820" s="16"/>
      <c r="AJ820" s="16"/>
      <c r="AK820" s="16"/>
      <c r="AL820" s="16"/>
      <c r="AM820" s="16"/>
      <c r="AN820" s="16"/>
      <c r="AO820" s="16"/>
      <c r="AP820" s="16"/>
      <c r="AQ820" s="16"/>
      <c r="AR820" s="16"/>
      <c r="AS820" s="16"/>
    </row>
    <row r="821" spans="1:45" s="8" customFormat="1" x14ac:dyDescent="0.35">
      <c r="A821" s="16"/>
      <c r="B821" s="16"/>
      <c r="C821" s="16"/>
      <c r="D821" s="16"/>
      <c r="E821" s="16"/>
      <c r="F821" s="16"/>
      <c r="G821" s="16"/>
      <c r="H821" s="16"/>
      <c r="I821" s="16"/>
      <c r="J821" s="16"/>
      <c r="K821" s="16"/>
      <c r="L821" s="16"/>
      <c r="M821" s="16"/>
      <c r="AH821" s="16"/>
      <c r="AI821" s="16"/>
      <c r="AJ821" s="16"/>
      <c r="AK821" s="16"/>
      <c r="AL821" s="16"/>
      <c r="AM821" s="16"/>
      <c r="AN821" s="16"/>
      <c r="AO821" s="16"/>
      <c r="AP821" s="16"/>
      <c r="AQ821" s="16"/>
      <c r="AR821" s="16"/>
      <c r="AS821" s="16"/>
    </row>
    <row r="822" spans="1:45" s="8" customFormat="1" x14ac:dyDescent="0.35">
      <c r="A822" s="16"/>
      <c r="B822" s="16"/>
      <c r="C822" s="16"/>
      <c r="D822" s="16"/>
      <c r="E822" s="16"/>
      <c r="F822" s="16"/>
      <c r="G822" s="16"/>
      <c r="H822" s="16"/>
      <c r="I822" s="16"/>
      <c r="J822" s="16"/>
      <c r="K822" s="16"/>
      <c r="L822" s="16"/>
      <c r="M822" s="16"/>
      <c r="AH822" s="16"/>
      <c r="AI822" s="16"/>
      <c r="AJ822" s="16"/>
      <c r="AK822" s="16"/>
      <c r="AL822" s="16"/>
      <c r="AM822" s="16"/>
      <c r="AN822" s="16"/>
      <c r="AO822" s="16"/>
      <c r="AP822" s="16"/>
      <c r="AQ822" s="16"/>
      <c r="AR822" s="16"/>
      <c r="AS822" s="16"/>
    </row>
    <row r="823" spans="1:45" s="8" customFormat="1" x14ac:dyDescent="0.35">
      <c r="A823" s="16"/>
      <c r="B823" s="16"/>
      <c r="C823" s="16"/>
      <c r="D823" s="16"/>
      <c r="E823" s="16"/>
      <c r="F823" s="16"/>
      <c r="G823" s="16"/>
      <c r="H823" s="16"/>
      <c r="I823" s="16"/>
      <c r="J823" s="16"/>
      <c r="K823" s="16"/>
      <c r="L823" s="16"/>
      <c r="M823" s="16"/>
      <c r="AH823" s="16"/>
      <c r="AI823" s="16"/>
      <c r="AJ823" s="16"/>
      <c r="AK823" s="16"/>
      <c r="AL823" s="16"/>
      <c r="AM823" s="16"/>
      <c r="AN823" s="16"/>
      <c r="AO823" s="16"/>
      <c r="AP823" s="16"/>
      <c r="AQ823" s="16"/>
      <c r="AR823" s="16"/>
      <c r="AS823" s="16"/>
    </row>
    <row r="824" spans="1:45" s="8" customFormat="1" x14ac:dyDescent="0.35">
      <c r="A824" s="16"/>
      <c r="B824" s="16"/>
      <c r="C824" s="16"/>
      <c r="D824" s="16"/>
      <c r="E824" s="16"/>
      <c r="F824" s="16"/>
      <c r="G824" s="16"/>
      <c r="H824" s="16"/>
      <c r="I824" s="16"/>
      <c r="J824" s="16"/>
      <c r="K824" s="16"/>
      <c r="L824" s="16"/>
      <c r="M824" s="16"/>
      <c r="AH824" s="16"/>
      <c r="AI824" s="16"/>
      <c r="AJ824" s="16"/>
      <c r="AK824" s="16"/>
      <c r="AL824" s="16"/>
      <c r="AM824" s="16"/>
      <c r="AN824" s="16"/>
      <c r="AO824" s="16"/>
      <c r="AP824" s="16"/>
      <c r="AQ824" s="16"/>
      <c r="AR824" s="16"/>
      <c r="AS824" s="16"/>
    </row>
    <row r="825" spans="1:45" s="8" customFormat="1" x14ac:dyDescent="0.35">
      <c r="A825" s="16"/>
      <c r="B825" s="16"/>
      <c r="C825" s="16"/>
      <c r="D825" s="16"/>
      <c r="E825" s="16"/>
      <c r="F825" s="16"/>
      <c r="G825" s="16"/>
      <c r="H825" s="16"/>
      <c r="I825" s="16"/>
      <c r="J825" s="16"/>
      <c r="K825" s="16"/>
      <c r="L825" s="16"/>
      <c r="M825" s="16"/>
      <c r="AH825" s="16"/>
      <c r="AI825" s="16"/>
      <c r="AJ825" s="16"/>
      <c r="AK825" s="16"/>
      <c r="AL825" s="16"/>
      <c r="AM825" s="16"/>
      <c r="AN825" s="16"/>
      <c r="AO825" s="16"/>
      <c r="AP825" s="16"/>
      <c r="AQ825" s="16"/>
      <c r="AR825" s="16"/>
      <c r="AS825" s="16"/>
    </row>
    <row r="826" spans="1:45" s="8" customFormat="1" x14ac:dyDescent="0.35">
      <c r="A826" s="16"/>
      <c r="B826" s="16"/>
      <c r="C826" s="16"/>
      <c r="D826" s="16"/>
      <c r="E826" s="16"/>
      <c r="F826" s="16"/>
      <c r="G826" s="16"/>
      <c r="H826" s="16"/>
      <c r="I826" s="16"/>
      <c r="J826" s="16"/>
      <c r="K826" s="16"/>
      <c r="L826" s="16"/>
      <c r="M826" s="16"/>
      <c r="AH826" s="16"/>
      <c r="AI826" s="16"/>
      <c r="AJ826" s="16"/>
      <c r="AK826" s="16"/>
      <c r="AL826" s="16"/>
      <c r="AM826" s="16"/>
      <c r="AN826" s="16"/>
      <c r="AO826" s="16"/>
      <c r="AP826" s="16"/>
      <c r="AQ826" s="16"/>
      <c r="AR826" s="16"/>
      <c r="AS826" s="16"/>
    </row>
    <row r="827" spans="1:45" s="8" customFormat="1" x14ac:dyDescent="0.35">
      <c r="A827" s="16"/>
      <c r="B827" s="16"/>
      <c r="C827" s="16"/>
      <c r="D827" s="16"/>
      <c r="E827" s="16"/>
      <c r="F827" s="16"/>
      <c r="G827" s="16"/>
      <c r="H827" s="16"/>
      <c r="I827" s="16"/>
      <c r="J827" s="16"/>
      <c r="K827" s="16"/>
      <c r="L827" s="16"/>
      <c r="M827" s="16"/>
      <c r="AH827" s="16"/>
      <c r="AI827" s="16"/>
      <c r="AJ827" s="16"/>
      <c r="AK827" s="16"/>
      <c r="AL827" s="16"/>
      <c r="AM827" s="16"/>
      <c r="AN827" s="16"/>
      <c r="AO827" s="16"/>
      <c r="AP827" s="16"/>
      <c r="AQ827" s="16"/>
      <c r="AR827" s="16"/>
      <c r="AS827" s="16"/>
    </row>
    <row r="828" spans="1:45" s="8" customFormat="1" x14ac:dyDescent="0.35">
      <c r="A828" s="16"/>
      <c r="B828" s="16"/>
      <c r="C828" s="16"/>
      <c r="D828" s="16"/>
      <c r="E828" s="16"/>
      <c r="F828" s="16"/>
      <c r="G828" s="16"/>
      <c r="H828" s="16"/>
      <c r="I828" s="16"/>
      <c r="J828" s="16"/>
      <c r="K828" s="16"/>
      <c r="L828" s="16"/>
      <c r="M828" s="16"/>
      <c r="AH828" s="16"/>
      <c r="AI828" s="16"/>
      <c r="AJ828" s="16"/>
      <c r="AK828" s="16"/>
      <c r="AL828" s="16"/>
      <c r="AM828" s="16"/>
      <c r="AN828" s="16"/>
      <c r="AO828" s="16"/>
      <c r="AP828" s="16"/>
      <c r="AQ828" s="16"/>
      <c r="AR828" s="16"/>
      <c r="AS828" s="16"/>
    </row>
    <row r="829" spans="1:45" s="8" customFormat="1" x14ac:dyDescent="0.35">
      <c r="A829" s="16"/>
      <c r="B829" s="16"/>
      <c r="C829" s="16"/>
      <c r="D829" s="16"/>
      <c r="E829" s="16"/>
      <c r="F829" s="16"/>
      <c r="G829" s="16"/>
      <c r="H829" s="16"/>
      <c r="I829" s="16"/>
      <c r="J829" s="16"/>
      <c r="K829" s="16"/>
      <c r="L829" s="16"/>
      <c r="M829" s="16"/>
      <c r="AH829" s="16"/>
      <c r="AI829" s="16"/>
      <c r="AJ829" s="16"/>
      <c r="AK829" s="16"/>
      <c r="AL829" s="16"/>
      <c r="AM829" s="16"/>
      <c r="AN829" s="16"/>
      <c r="AO829" s="16"/>
      <c r="AP829" s="16"/>
      <c r="AQ829" s="16"/>
      <c r="AR829" s="16"/>
      <c r="AS829" s="16"/>
    </row>
    <row r="830" spans="1:45" s="8" customFormat="1" x14ac:dyDescent="0.35">
      <c r="A830" s="16"/>
      <c r="B830" s="16"/>
      <c r="C830" s="16"/>
      <c r="D830" s="16"/>
      <c r="E830" s="16"/>
      <c r="F830" s="16"/>
      <c r="G830" s="16"/>
      <c r="H830" s="16"/>
      <c r="I830" s="16"/>
      <c r="J830" s="16"/>
      <c r="K830" s="16"/>
      <c r="L830" s="16"/>
      <c r="M830" s="16"/>
      <c r="AH830" s="16"/>
      <c r="AI830" s="16"/>
      <c r="AJ830" s="16"/>
      <c r="AK830" s="16"/>
      <c r="AL830" s="16"/>
      <c r="AM830" s="16"/>
      <c r="AN830" s="16"/>
      <c r="AO830" s="16"/>
      <c r="AP830" s="16"/>
      <c r="AQ830" s="16"/>
      <c r="AR830" s="16"/>
      <c r="AS830" s="16"/>
    </row>
    <row r="831" spans="1:45" s="8" customFormat="1" x14ac:dyDescent="0.35">
      <c r="A831" s="16"/>
      <c r="B831" s="16"/>
      <c r="C831" s="16"/>
      <c r="D831" s="16"/>
      <c r="E831" s="16"/>
      <c r="F831" s="16"/>
      <c r="G831" s="16"/>
      <c r="H831" s="16"/>
      <c r="I831" s="16"/>
      <c r="J831" s="16"/>
      <c r="K831" s="16"/>
      <c r="L831" s="16"/>
      <c r="M831" s="16"/>
      <c r="AH831" s="16"/>
      <c r="AI831" s="16"/>
      <c r="AJ831" s="16"/>
      <c r="AK831" s="16"/>
      <c r="AL831" s="16"/>
      <c r="AM831" s="16"/>
      <c r="AN831" s="16"/>
      <c r="AO831" s="16"/>
      <c r="AP831" s="16"/>
      <c r="AQ831" s="16"/>
      <c r="AR831" s="16"/>
      <c r="AS831" s="16"/>
    </row>
    <row r="832" spans="1:45" s="8" customFormat="1" x14ac:dyDescent="0.35">
      <c r="A832" s="16"/>
      <c r="B832" s="16"/>
      <c r="C832" s="16"/>
      <c r="D832" s="16"/>
      <c r="E832" s="16"/>
      <c r="F832" s="16"/>
      <c r="G832" s="16"/>
      <c r="H832" s="16"/>
      <c r="I832" s="16"/>
      <c r="J832" s="16"/>
      <c r="K832" s="16"/>
      <c r="L832" s="16"/>
      <c r="M832" s="16"/>
      <c r="AH832" s="16"/>
      <c r="AI832" s="16"/>
      <c r="AJ832" s="16"/>
      <c r="AK832" s="16"/>
      <c r="AL832" s="16"/>
      <c r="AM832" s="16"/>
      <c r="AN832" s="16"/>
      <c r="AO832" s="16"/>
      <c r="AP832" s="16"/>
      <c r="AQ832" s="16"/>
      <c r="AR832" s="16"/>
      <c r="AS832" s="16"/>
    </row>
    <row r="833" spans="1:45" s="8" customFormat="1" x14ac:dyDescent="0.35">
      <c r="A833" s="16"/>
      <c r="B833" s="16"/>
      <c r="C833" s="16"/>
      <c r="D833" s="16"/>
      <c r="E833" s="16"/>
      <c r="F833" s="16"/>
      <c r="G833" s="16"/>
      <c r="H833" s="16"/>
      <c r="I833" s="16"/>
      <c r="J833" s="16"/>
      <c r="K833" s="16"/>
      <c r="L833" s="16"/>
      <c r="M833" s="16"/>
      <c r="AH833" s="16"/>
      <c r="AI833" s="16"/>
      <c r="AJ833" s="16"/>
      <c r="AK833" s="16"/>
      <c r="AL833" s="16"/>
      <c r="AM833" s="16"/>
      <c r="AN833" s="16"/>
      <c r="AO833" s="16"/>
      <c r="AP833" s="16"/>
      <c r="AQ833" s="16"/>
      <c r="AR833" s="16"/>
      <c r="AS833" s="16"/>
    </row>
    <row r="834" spans="1:45" s="8" customFormat="1" x14ac:dyDescent="0.35">
      <c r="A834" s="16"/>
      <c r="B834" s="16"/>
      <c r="C834" s="16"/>
      <c r="D834" s="16"/>
      <c r="E834" s="16"/>
      <c r="F834" s="16"/>
      <c r="G834" s="16"/>
      <c r="H834" s="16"/>
      <c r="I834" s="16"/>
      <c r="J834" s="16"/>
      <c r="K834" s="16"/>
      <c r="L834" s="16"/>
      <c r="M834" s="16"/>
      <c r="AH834" s="16"/>
      <c r="AI834" s="16"/>
      <c r="AJ834" s="16"/>
      <c r="AK834" s="16"/>
      <c r="AL834" s="16"/>
      <c r="AM834" s="16"/>
      <c r="AN834" s="16"/>
      <c r="AO834" s="16"/>
      <c r="AP834" s="16"/>
      <c r="AQ834" s="16"/>
      <c r="AR834" s="16"/>
      <c r="AS834" s="16"/>
    </row>
    <row r="835" spans="1:45" s="8" customFormat="1" x14ac:dyDescent="0.35">
      <c r="A835" s="16"/>
      <c r="B835" s="16"/>
      <c r="C835" s="16"/>
      <c r="D835" s="16"/>
      <c r="E835" s="16"/>
      <c r="F835" s="16"/>
      <c r="G835" s="16"/>
      <c r="H835" s="16"/>
      <c r="I835" s="16"/>
      <c r="J835" s="16"/>
      <c r="K835" s="16"/>
      <c r="L835" s="16"/>
      <c r="M835" s="16"/>
      <c r="AH835" s="16"/>
      <c r="AI835" s="16"/>
      <c r="AJ835" s="16"/>
      <c r="AK835" s="16"/>
      <c r="AL835" s="16"/>
      <c r="AM835" s="16"/>
      <c r="AN835" s="16"/>
      <c r="AO835" s="16"/>
      <c r="AP835" s="16"/>
      <c r="AQ835" s="16"/>
      <c r="AR835" s="16"/>
      <c r="AS835" s="16"/>
    </row>
    <row r="836" spans="1:45" s="8" customFormat="1" x14ac:dyDescent="0.35">
      <c r="A836" s="16"/>
      <c r="B836" s="16"/>
      <c r="C836" s="16"/>
      <c r="D836" s="16"/>
      <c r="E836" s="16"/>
      <c r="F836" s="16"/>
      <c r="G836" s="16"/>
      <c r="H836" s="16"/>
      <c r="I836" s="16"/>
      <c r="J836" s="16"/>
      <c r="K836" s="16"/>
      <c r="L836" s="16"/>
      <c r="M836" s="16"/>
      <c r="AH836" s="16"/>
      <c r="AI836" s="16"/>
      <c r="AJ836" s="16"/>
      <c r="AK836" s="16"/>
      <c r="AL836" s="16"/>
      <c r="AM836" s="16"/>
      <c r="AN836" s="16"/>
      <c r="AO836" s="16"/>
      <c r="AP836" s="16"/>
      <c r="AQ836" s="16"/>
      <c r="AR836" s="16"/>
      <c r="AS836" s="16"/>
    </row>
    <row r="837" spans="1:45" s="8" customFormat="1" x14ac:dyDescent="0.35">
      <c r="A837" s="16"/>
      <c r="B837" s="16"/>
      <c r="C837" s="16"/>
      <c r="D837" s="16"/>
      <c r="E837" s="16"/>
      <c r="F837" s="16"/>
      <c r="G837" s="16"/>
      <c r="H837" s="16"/>
      <c r="I837" s="16"/>
      <c r="J837" s="16"/>
      <c r="K837" s="16"/>
      <c r="L837" s="16"/>
      <c r="M837" s="16"/>
      <c r="AH837" s="16"/>
      <c r="AI837" s="16"/>
      <c r="AJ837" s="16"/>
      <c r="AK837" s="16"/>
      <c r="AL837" s="16"/>
      <c r="AM837" s="16"/>
      <c r="AN837" s="16"/>
      <c r="AO837" s="16"/>
      <c r="AP837" s="16"/>
      <c r="AQ837" s="16"/>
      <c r="AR837" s="16"/>
      <c r="AS837" s="16"/>
    </row>
    <row r="838" spans="1:45" s="8" customFormat="1" x14ac:dyDescent="0.35">
      <c r="A838" s="16"/>
      <c r="B838" s="16"/>
      <c r="C838" s="16"/>
      <c r="D838" s="16"/>
      <c r="E838" s="16"/>
      <c r="F838" s="16"/>
      <c r="G838" s="16"/>
      <c r="H838" s="16"/>
      <c r="I838" s="16"/>
      <c r="J838" s="16"/>
      <c r="K838" s="16"/>
      <c r="L838" s="16"/>
      <c r="M838" s="16"/>
      <c r="AH838" s="16"/>
      <c r="AI838" s="16"/>
      <c r="AJ838" s="16"/>
      <c r="AK838" s="16"/>
      <c r="AL838" s="16"/>
      <c r="AM838" s="16"/>
      <c r="AN838" s="16"/>
      <c r="AO838" s="16"/>
      <c r="AP838" s="16"/>
      <c r="AQ838" s="16"/>
      <c r="AR838" s="16"/>
      <c r="AS838" s="16"/>
    </row>
    <row r="839" spans="1:45" s="8" customFormat="1" x14ac:dyDescent="0.35">
      <c r="A839" s="16"/>
      <c r="B839" s="16"/>
      <c r="C839" s="16"/>
      <c r="D839" s="16"/>
      <c r="E839" s="16"/>
      <c r="F839" s="16"/>
      <c r="G839" s="16"/>
      <c r="H839" s="16"/>
      <c r="I839" s="16"/>
      <c r="J839" s="16"/>
      <c r="K839" s="16"/>
      <c r="L839" s="16"/>
      <c r="M839" s="16"/>
      <c r="AH839" s="16"/>
      <c r="AI839" s="16"/>
      <c r="AJ839" s="16"/>
      <c r="AK839" s="16"/>
      <c r="AL839" s="16"/>
      <c r="AM839" s="16"/>
      <c r="AN839" s="16"/>
      <c r="AO839" s="16"/>
      <c r="AP839" s="16"/>
      <c r="AQ839" s="16"/>
      <c r="AR839" s="16"/>
      <c r="AS839" s="16"/>
    </row>
    <row r="840" spans="1:45" s="8" customFormat="1" x14ac:dyDescent="0.35">
      <c r="A840" s="16"/>
      <c r="B840" s="16"/>
      <c r="C840" s="16"/>
      <c r="D840" s="16"/>
      <c r="E840" s="16"/>
      <c r="F840" s="16"/>
      <c r="G840" s="16"/>
      <c r="H840" s="16"/>
      <c r="I840" s="16"/>
      <c r="J840" s="16"/>
      <c r="K840" s="16"/>
      <c r="L840" s="16"/>
      <c r="M840" s="16"/>
      <c r="AH840" s="16"/>
      <c r="AI840" s="16"/>
      <c r="AJ840" s="16"/>
      <c r="AK840" s="16"/>
      <c r="AL840" s="16"/>
      <c r="AM840" s="16"/>
      <c r="AN840" s="16"/>
      <c r="AO840" s="16"/>
      <c r="AP840" s="16"/>
      <c r="AQ840" s="16"/>
      <c r="AR840" s="16"/>
      <c r="AS840" s="16"/>
    </row>
    <row r="841" spans="1:45" s="8" customFormat="1" x14ac:dyDescent="0.35">
      <c r="A841" s="16"/>
      <c r="B841" s="16"/>
      <c r="C841" s="16"/>
      <c r="D841" s="16"/>
      <c r="E841" s="16"/>
      <c r="F841" s="16"/>
      <c r="G841" s="16"/>
      <c r="H841" s="16"/>
      <c r="I841" s="16"/>
      <c r="J841" s="16"/>
      <c r="K841" s="16"/>
      <c r="L841" s="16"/>
      <c r="M841" s="16"/>
      <c r="AH841" s="16"/>
      <c r="AI841" s="16"/>
      <c r="AJ841" s="16"/>
      <c r="AK841" s="16"/>
      <c r="AL841" s="16"/>
      <c r="AM841" s="16"/>
      <c r="AN841" s="16"/>
      <c r="AO841" s="16"/>
      <c r="AP841" s="16"/>
      <c r="AQ841" s="16"/>
      <c r="AR841" s="16"/>
      <c r="AS841" s="16"/>
    </row>
    <row r="842" spans="1:45" s="8" customFormat="1" x14ac:dyDescent="0.35">
      <c r="A842" s="16"/>
      <c r="B842" s="16"/>
      <c r="C842" s="16"/>
      <c r="D842" s="16"/>
      <c r="E842" s="16"/>
      <c r="F842" s="16"/>
      <c r="G842" s="16"/>
      <c r="H842" s="16"/>
      <c r="I842" s="16"/>
      <c r="J842" s="16"/>
      <c r="K842" s="16"/>
      <c r="L842" s="16"/>
      <c r="M842" s="16"/>
      <c r="AH842" s="16"/>
      <c r="AI842" s="16"/>
      <c r="AJ842" s="16"/>
      <c r="AK842" s="16"/>
      <c r="AL842" s="16"/>
      <c r="AM842" s="16"/>
      <c r="AN842" s="16"/>
      <c r="AO842" s="16"/>
      <c r="AP842" s="16"/>
      <c r="AQ842" s="16"/>
      <c r="AR842" s="16"/>
      <c r="AS842" s="16"/>
    </row>
    <row r="843" spans="1:45" s="8" customFormat="1" x14ac:dyDescent="0.35">
      <c r="A843" s="16"/>
      <c r="B843" s="16"/>
      <c r="C843" s="16"/>
      <c r="D843" s="16"/>
      <c r="E843" s="16"/>
      <c r="F843" s="16"/>
      <c r="G843" s="16"/>
      <c r="H843" s="16"/>
      <c r="I843" s="16"/>
      <c r="J843" s="16"/>
      <c r="K843" s="16"/>
      <c r="L843" s="16"/>
      <c r="M843" s="16"/>
      <c r="AH843" s="16"/>
      <c r="AI843" s="16"/>
      <c r="AJ843" s="16"/>
      <c r="AK843" s="16"/>
      <c r="AL843" s="16"/>
      <c r="AM843" s="16"/>
      <c r="AN843" s="16"/>
      <c r="AO843" s="16"/>
      <c r="AP843" s="16"/>
      <c r="AQ843" s="16"/>
      <c r="AR843" s="16"/>
      <c r="AS843" s="16"/>
    </row>
    <row r="844" spans="1:45" s="8" customFormat="1" x14ac:dyDescent="0.35">
      <c r="A844" s="16"/>
      <c r="B844" s="16"/>
      <c r="C844" s="16"/>
      <c r="D844" s="16"/>
      <c r="E844" s="16"/>
      <c r="F844" s="16"/>
      <c r="G844" s="16"/>
      <c r="H844" s="16"/>
      <c r="I844" s="16"/>
      <c r="J844" s="16"/>
      <c r="K844" s="16"/>
      <c r="L844" s="16"/>
      <c r="M844" s="16"/>
      <c r="AH844" s="16"/>
      <c r="AI844" s="16"/>
      <c r="AJ844" s="16"/>
      <c r="AK844" s="16"/>
      <c r="AL844" s="16"/>
      <c r="AM844" s="16"/>
      <c r="AN844" s="16"/>
      <c r="AO844" s="16"/>
      <c r="AP844" s="16"/>
      <c r="AQ844" s="16"/>
      <c r="AR844" s="16"/>
      <c r="AS844" s="16"/>
    </row>
    <row r="845" spans="1:45" s="8" customFormat="1" x14ac:dyDescent="0.35">
      <c r="A845" s="16"/>
      <c r="B845" s="16"/>
      <c r="C845" s="16"/>
      <c r="D845" s="16"/>
      <c r="E845" s="16"/>
      <c r="F845" s="16"/>
      <c r="G845" s="16"/>
      <c r="H845" s="16"/>
      <c r="I845" s="16"/>
      <c r="J845" s="16"/>
      <c r="K845" s="16"/>
      <c r="L845" s="16"/>
      <c r="M845" s="16"/>
      <c r="AH845" s="16"/>
      <c r="AI845" s="16"/>
      <c r="AJ845" s="16"/>
      <c r="AK845" s="16"/>
      <c r="AL845" s="16"/>
      <c r="AM845" s="16"/>
      <c r="AN845" s="16"/>
      <c r="AO845" s="16"/>
      <c r="AP845" s="16"/>
      <c r="AQ845" s="16"/>
      <c r="AR845" s="16"/>
      <c r="AS845" s="16"/>
    </row>
    <row r="846" spans="1:45" s="8" customFormat="1" x14ac:dyDescent="0.35">
      <c r="A846" s="16"/>
      <c r="B846" s="16"/>
      <c r="C846" s="16"/>
      <c r="D846" s="16"/>
      <c r="E846" s="16"/>
      <c r="F846" s="16"/>
      <c r="G846" s="16"/>
      <c r="H846" s="16"/>
      <c r="I846" s="16"/>
      <c r="J846" s="16"/>
      <c r="K846" s="16"/>
      <c r="L846" s="16"/>
      <c r="M846" s="16"/>
      <c r="AH846" s="16"/>
      <c r="AI846" s="16"/>
      <c r="AJ846" s="16"/>
      <c r="AK846" s="16"/>
      <c r="AL846" s="16"/>
      <c r="AM846" s="16"/>
      <c r="AN846" s="16"/>
      <c r="AO846" s="16"/>
      <c r="AP846" s="16"/>
      <c r="AQ846" s="16"/>
      <c r="AR846" s="16"/>
      <c r="AS846" s="16"/>
    </row>
    <row r="847" spans="1:45" s="8" customFormat="1" x14ac:dyDescent="0.35">
      <c r="A847" s="16"/>
      <c r="B847" s="16"/>
      <c r="C847" s="16"/>
      <c r="D847" s="16"/>
      <c r="E847" s="16"/>
      <c r="F847" s="16"/>
      <c r="G847" s="16"/>
      <c r="H847" s="16"/>
      <c r="I847" s="16"/>
      <c r="J847" s="16"/>
      <c r="K847" s="16"/>
      <c r="L847" s="16"/>
      <c r="M847" s="16"/>
      <c r="AH847" s="16"/>
      <c r="AI847" s="16"/>
      <c r="AJ847" s="16"/>
      <c r="AK847" s="16"/>
      <c r="AL847" s="16"/>
      <c r="AM847" s="16"/>
      <c r="AN847" s="16"/>
      <c r="AO847" s="16"/>
      <c r="AP847" s="16"/>
      <c r="AQ847" s="16"/>
      <c r="AR847" s="16"/>
      <c r="AS847" s="16"/>
    </row>
    <row r="848" spans="1:45" s="8" customFormat="1" x14ac:dyDescent="0.35">
      <c r="A848" s="16"/>
      <c r="B848" s="16"/>
      <c r="C848" s="16"/>
      <c r="D848" s="16"/>
      <c r="E848" s="16"/>
      <c r="F848" s="16"/>
      <c r="G848" s="16"/>
      <c r="H848" s="16"/>
      <c r="I848" s="16"/>
      <c r="J848" s="16"/>
      <c r="K848" s="16"/>
      <c r="L848" s="16"/>
      <c r="M848" s="16"/>
      <c r="AH848" s="16"/>
      <c r="AI848" s="16"/>
      <c r="AJ848" s="16"/>
      <c r="AK848" s="16"/>
      <c r="AL848" s="16"/>
      <c r="AM848" s="16"/>
      <c r="AN848" s="16"/>
      <c r="AO848" s="16"/>
      <c r="AP848" s="16"/>
      <c r="AQ848" s="16"/>
      <c r="AR848" s="16"/>
      <c r="AS848" s="16"/>
    </row>
    <row r="849" spans="1:45" s="8" customFormat="1" x14ac:dyDescent="0.35">
      <c r="A849" s="16"/>
      <c r="B849" s="16"/>
      <c r="C849" s="16"/>
      <c r="D849" s="16"/>
      <c r="E849" s="16"/>
      <c r="F849" s="16"/>
      <c r="G849" s="16"/>
      <c r="H849" s="16"/>
      <c r="I849" s="16"/>
      <c r="J849" s="16"/>
      <c r="K849" s="16"/>
      <c r="L849" s="16"/>
      <c r="M849" s="16"/>
      <c r="AH849" s="16"/>
      <c r="AI849" s="16"/>
      <c r="AJ849" s="16"/>
      <c r="AK849" s="16"/>
      <c r="AL849" s="16"/>
      <c r="AM849" s="16"/>
      <c r="AN849" s="16"/>
      <c r="AO849" s="16"/>
      <c r="AP849" s="16"/>
      <c r="AQ849" s="16"/>
      <c r="AR849" s="16"/>
      <c r="AS849" s="16"/>
    </row>
    <row r="850" spans="1:45" s="8" customFormat="1" x14ac:dyDescent="0.35">
      <c r="A850" s="16"/>
      <c r="B850" s="16"/>
      <c r="C850" s="16"/>
      <c r="D850" s="16"/>
      <c r="E850" s="16"/>
      <c r="F850" s="16"/>
      <c r="G850" s="16"/>
      <c r="H850" s="16"/>
      <c r="I850" s="16"/>
      <c r="J850" s="16"/>
      <c r="K850" s="16"/>
      <c r="L850" s="16"/>
      <c r="M850" s="16"/>
      <c r="AH850" s="16"/>
      <c r="AI850" s="16"/>
      <c r="AJ850" s="16"/>
      <c r="AK850" s="16"/>
      <c r="AL850" s="16"/>
      <c r="AM850" s="16"/>
      <c r="AN850" s="16"/>
      <c r="AO850" s="16"/>
      <c r="AP850" s="16"/>
      <c r="AQ850" s="16"/>
      <c r="AR850" s="16"/>
      <c r="AS850" s="16"/>
    </row>
    <row r="851" spans="1:45" s="8" customFormat="1" x14ac:dyDescent="0.35">
      <c r="A851" s="16"/>
      <c r="B851" s="16"/>
      <c r="C851" s="16"/>
      <c r="D851" s="16"/>
      <c r="E851" s="16"/>
      <c r="F851" s="16"/>
      <c r="G851" s="16"/>
      <c r="H851" s="16"/>
      <c r="I851" s="16"/>
      <c r="J851" s="16"/>
      <c r="K851" s="16"/>
      <c r="L851" s="16"/>
      <c r="M851" s="16"/>
      <c r="AH851" s="16"/>
      <c r="AI851" s="16"/>
      <c r="AJ851" s="16"/>
      <c r="AK851" s="16"/>
      <c r="AL851" s="16"/>
      <c r="AM851" s="16"/>
      <c r="AN851" s="16"/>
      <c r="AO851" s="16"/>
      <c r="AP851" s="16"/>
      <c r="AQ851" s="16"/>
      <c r="AR851" s="16"/>
      <c r="AS851" s="16"/>
    </row>
    <row r="852" spans="1:45" s="8" customFormat="1" x14ac:dyDescent="0.35">
      <c r="A852" s="16"/>
      <c r="B852" s="16"/>
      <c r="C852" s="16"/>
      <c r="D852" s="16"/>
      <c r="E852" s="16"/>
      <c r="F852" s="16"/>
      <c r="G852" s="16"/>
      <c r="H852" s="16"/>
      <c r="I852" s="16"/>
      <c r="J852" s="16"/>
      <c r="K852" s="16"/>
      <c r="L852" s="16"/>
      <c r="M852" s="16"/>
      <c r="AH852" s="16"/>
      <c r="AI852" s="16"/>
      <c r="AJ852" s="16"/>
      <c r="AK852" s="16"/>
      <c r="AL852" s="16"/>
      <c r="AM852" s="16"/>
      <c r="AN852" s="16"/>
      <c r="AO852" s="16"/>
      <c r="AP852" s="16"/>
      <c r="AQ852" s="16"/>
      <c r="AR852" s="16"/>
      <c r="AS852" s="16"/>
    </row>
    <row r="853" spans="1:45" s="8" customFormat="1" x14ac:dyDescent="0.35">
      <c r="A853" s="16"/>
      <c r="B853" s="16"/>
      <c r="C853" s="16"/>
      <c r="D853" s="16"/>
      <c r="E853" s="16"/>
      <c r="F853" s="16"/>
      <c r="G853" s="16"/>
      <c r="H853" s="16"/>
      <c r="I853" s="16"/>
      <c r="J853" s="16"/>
      <c r="K853" s="16"/>
      <c r="L853" s="16"/>
      <c r="M853" s="16"/>
      <c r="AH853" s="16"/>
      <c r="AI853" s="16"/>
      <c r="AJ853" s="16"/>
      <c r="AK853" s="16"/>
      <c r="AL853" s="16"/>
      <c r="AM853" s="16"/>
      <c r="AN853" s="16"/>
      <c r="AO853" s="16"/>
      <c r="AP853" s="16"/>
      <c r="AQ853" s="16"/>
      <c r="AR853" s="16"/>
      <c r="AS853" s="16"/>
    </row>
    <row r="854" spans="1:45" s="8" customFormat="1" x14ac:dyDescent="0.35">
      <c r="A854" s="16"/>
      <c r="B854" s="16"/>
      <c r="C854" s="16"/>
      <c r="D854" s="16"/>
      <c r="E854" s="16"/>
      <c r="F854" s="16"/>
      <c r="G854" s="16"/>
      <c r="H854" s="16"/>
      <c r="I854" s="16"/>
      <c r="J854" s="16"/>
      <c r="K854" s="16"/>
      <c r="L854" s="16"/>
      <c r="M854" s="16"/>
      <c r="AH854" s="16"/>
      <c r="AI854" s="16"/>
      <c r="AJ854" s="16"/>
      <c r="AK854" s="16"/>
      <c r="AL854" s="16"/>
      <c r="AM854" s="16"/>
      <c r="AN854" s="16"/>
      <c r="AO854" s="16"/>
      <c r="AP854" s="16"/>
      <c r="AQ854" s="16"/>
      <c r="AR854" s="16"/>
      <c r="AS854" s="16"/>
    </row>
    <row r="855" spans="1:45" s="8" customFormat="1" x14ac:dyDescent="0.35">
      <c r="A855" s="16"/>
      <c r="B855" s="16"/>
      <c r="C855" s="16"/>
      <c r="D855" s="16"/>
      <c r="E855" s="16"/>
      <c r="F855" s="16"/>
      <c r="G855" s="16"/>
      <c r="H855" s="16"/>
      <c r="I855" s="16"/>
      <c r="J855" s="16"/>
      <c r="K855" s="16"/>
      <c r="L855" s="16"/>
      <c r="M855" s="16"/>
      <c r="AH855" s="16"/>
      <c r="AI855" s="16"/>
      <c r="AJ855" s="16"/>
      <c r="AK855" s="16"/>
      <c r="AL855" s="16"/>
      <c r="AM855" s="16"/>
      <c r="AN855" s="16"/>
      <c r="AO855" s="16"/>
      <c r="AP855" s="16"/>
      <c r="AQ855" s="16"/>
      <c r="AR855" s="16"/>
      <c r="AS855" s="16"/>
    </row>
    <row r="856" spans="1:45" s="8" customFormat="1" x14ac:dyDescent="0.35">
      <c r="A856" s="16"/>
      <c r="B856" s="16"/>
      <c r="C856" s="16"/>
      <c r="D856" s="16"/>
      <c r="E856" s="16"/>
      <c r="F856" s="16"/>
      <c r="G856" s="16"/>
      <c r="H856" s="16"/>
      <c r="I856" s="16"/>
      <c r="J856" s="16"/>
      <c r="K856" s="16"/>
      <c r="L856" s="16"/>
      <c r="M856" s="16"/>
      <c r="AH856" s="16"/>
      <c r="AI856" s="16"/>
      <c r="AJ856" s="16"/>
      <c r="AK856" s="16"/>
      <c r="AL856" s="16"/>
      <c r="AM856" s="16"/>
      <c r="AN856" s="16"/>
      <c r="AO856" s="16"/>
      <c r="AP856" s="16"/>
      <c r="AQ856" s="16"/>
      <c r="AR856" s="16"/>
      <c r="AS856" s="16"/>
    </row>
    <row r="857" spans="1:45" s="8" customFormat="1" x14ac:dyDescent="0.35">
      <c r="A857" s="16"/>
      <c r="B857" s="16"/>
      <c r="C857" s="16"/>
      <c r="D857" s="16"/>
      <c r="E857" s="16"/>
      <c r="F857" s="16"/>
      <c r="G857" s="16"/>
      <c r="H857" s="16"/>
      <c r="I857" s="16"/>
      <c r="J857" s="16"/>
      <c r="K857" s="16"/>
      <c r="L857" s="16"/>
      <c r="M857" s="16"/>
      <c r="AH857" s="16"/>
      <c r="AI857" s="16"/>
      <c r="AJ857" s="16"/>
      <c r="AK857" s="16"/>
      <c r="AL857" s="16"/>
      <c r="AM857" s="16"/>
      <c r="AN857" s="16"/>
      <c r="AO857" s="16"/>
      <c r="AP857" s="16"/>
      <c r="AQ857" s="16"/>
      <c r="AR857" s="16"/>
      <c r="AS857" s="16"/>
    </row>
    <row r="858" spans="1:45" s="8" customFormat="1" x14ac:dyDescent="0.35">
      <c r="A858" s="16"/>
      <c r="B858" s="16"/>
      <c r="C858" s="16"/>
      <c r="D858" s="16"/>
      <c r="E858" s="16"/>
      <c r="F858" s="16"/>
      <c r="G858" s="16"/>
      <c r="H858" s="16"/>
      <c r="I858" s="16"/>
      <c r="J858" s="16"/>
      <c r="K858" s="16"/>
      <c r="L858" s="16"/>
      <c r="M858" s="16"/>
      <c r="AH858" s="16"/>
      <c r="AI858" s="16"/>
      <c r="AJ858" s="16"/>
      <c r="AK858" s="16"/>
      <c r="AL858" s="16"/>
      <c r="AM858" s="16"/>
      <c r="AN858" s="16"/>
      <c r="AO858" s="16"/>
      <c r="AP858" s="16"/>
      <c r="AQ858" s="16"/>
      <c r="AR858" s="16"/>
      <c r="AS858" s="16"/>
    </row>
    <row r="859" spans="1:45" s="8" customFormat="1" x14ac:dyDescent="0.35">
      <c r="A859" s="16"/>
      <c r="B859" s="16"/>
      <c r="C859" s="16"/>
      <c r="D859" s="16"/>
      <c r="E859" s="16"/>
      <c r="F859" s="16"/>
      <c r="G859" s="16"/>
      <c r="H859" s="16"/>
      <c r="I859" s="16"/>
      <c r="J859" s="16"/>
      <c r="K859" s="16"/>
      <c r="L859" s="16"/>
      <c r="M859" s="16"/>
      <c r="AH859" s="16"/>
      <c r="AI859" s="16"/>
      <c r="AJ859" s="16"/>
      <c r="AK859" s="16"/>
      <c r="AL859" s="16"/>
      <c r="AM859" s="16"/>
      <c r="AN859" s="16"/>
      <c r="AO859" s="16"/>
      <c r="AP859" s="16"/>
      <c r="AQ859" s="16"/>
      <c r="AR859" s="16"/>
      <c r="AS859" s="16"/>
    </row>
    <row r="860" spans="1:45" s="8" customFormat="1" x14ac:dyDescent="0.35">
      <c r="A860" s="16"/>
      <c r="B860" s="16"/>
      <c r="C860" s="16"/>
      <c r="D860" s="16"/>
      <c r="E860" s="16"/>
      <c r="F860" s="16"/>
      <c r="G860" s="16"/>
      <c r="H860" s="16"/>
      <c r="I860" s="16"/>
      <c r="J860" s="16"/>
      <c r="K860" s="16"/>
      <c r="L860" s="16"/>
      <c r="M860" s="16"/>
      <c r="AH860" s="16"/>
      <c r="AI860" s="16"/>
      <c r="AJ860" s="16"/>
      <c r="AK860" s="16"/>
      <c r="AL860" s="16"/>
      <c r="AM860" s="16"/>
      <c r="AN860" s="16"/>
      <c r="AO860" s="16"/>
      <c r="AP860" s="16"/>
      <c r="AQ860" s="16"/>
      <c r="AR860" s="16"/>
      <c r="AS860" s="16"/>
    </row>
    <row r="861" spans="1:45" s="8" customFormat="1" x14ac:dyDescent="0.35">
      <c r="A861" s="16"/>
      <c r="B861" s="16"/>
      <c r="C861" s="16"/>
      <c r="D861" s="16"/>
      <c r="E861" s="16"/>
      <c r="F861" s="16"/>
      <c r="G861" s="16"/>
      <c r="H861" s="16"/>
      <c r="I861" s="16"/>
      <c r="J861" s="16"/>
      <c r="K861" s="16"/>
      <c r="L861" s="16"/>
      <c r="M861" s="16"/>
      <c r="AH861" s="16"/>
      <c r="AI861" s="16"/>
      <c r="AJ861" s="16"/>
      <c r="AK861" s="16"/>
      <c r="AL861" s="16"/>
      <c r="AM861" s="16"/>
      <c r="AN861" s="16"/>
      <c r="AO861" s="16"/>
      <c r="AP861" s="16"/>
      <c r="AQ861" s="16"/>
      <c r="AR861" s="16"/>
      <c r="AS861" s="16"/>
    </row>
    <row r="862" spans="1:45" s="8" customFormat="1" x14ac:dyDescent="0.35">
      <c r="A862" s="16"/>
      <c r="B862" s="16"/>
      <c r="C862" s="16"/>
      <c r="D862" s="16"/>
      <c r="E862" s="16"/>
      <c r="F862" s="16"/>
      <c r="G862" s="16"/>
      <c r="H862" s="16"/>
      <c r="I862" s="16"/>
      <c r="J862" s="16"/>
      <c r="K862" s="16"/>
      <c r="L862" s="16"/>
      <c r="M862" s="16"/>
      <c r="AH862" s="16"/>
      <c r="AI862" s="16"/>
      <c r="AJ862" s="16"/>
      <c r="AK862" s="16"/>
      <c r="AL862" s="16"/>
      <c r="AM862" s="16"/>
      <c r="AN862" s="16"/>
      <c r="AO862" s="16"/>
      <c r="AP862" s="16"/>
      <c r="AQ862" s="16"/>
      <c r="AR862" s="16"/>
      <c r="AS862" s="16"/>
    </row>
    <row r="863" spans="1:45" s="8" customFormat="1" x14ac:dyDescent="0.35">
      <c r="A863" s="16"/>
      <c r="B863" s="16"/>
      <c r="C863" s="16"/>
      <c r="D863" s="16"/>
      <c r="E863" s="16"/>
      <c r="F863" s="16"/>
      <c r="G863" s="16"/>
      <c r="H863" s="16"/>
      <c r="I863" s="16"/>
      <c r="J863" s="16"/>
      <c r="K863" s="16"/>
      <c r="L863" s="16"/>
      <c r="M863" s="16"/>
      <c r="AH863" s="16"/>
      <c r="AI863" s="16"/>
      <c r="AJ863" s="16"/>
      <c r="AK863" s="16"/>
      <c r="AL863" s="16"/>
      <c r="AM863" s="16"/>
      <c r="AN863" s="16"/>
      <c r="AO863" s="16"/>
      <c r="AP863" s="16"/>
      <c r="AQ863" s="16"/>
      <c r="AR863" s="16"/>
      <c r="AS863" s="16"/>
    </row>
    <row r="864" spans="1:45" s="8" customFormat="1" x14ac:dyDescent="0.35">
      <c r="A864" s="16"/>
      <c r="B864" s="16"/>
      <c r="C864" s="16"/>
      <c r="D864" s="16"/>
      <c r="E864" s="16"/>
      <c r="F864" s="16"/>
      <c r="G864" s="16"/>
      <c r="H864" s="16"/>
      <c r="I864" s="16"/>
      <c r="J864" s="16"/>
      <c r="K864" s="16"/>
      <c r="L864" s="16"/>
      <c r="M864" s="16"/>
      <c r="AH864" s="16"/>
      <c r="AI864" s="16"/>
      <c r="AJ864" s="16"/>
      <c r="AK864" s="16"/>
      <c r="AL864" s="16"/>
      <c r="AM864" s="16"/>
      <c r="AN864" s="16"/>
      <c r="AO864" s="16"/>
      <c r="AP864" s="16"/>
      <c r="AQ864" s="16"/>
      <c r="AR864" s="16"/>
      <c r="AS864" s="16"/>
    </row>
    <row r="865" spans="1:45" s="8" customFormat="1" x14ac:dyDescent="0.35">
      <c r="A865" s="16"/>
      <c r="B865" s="16"/>
      <c r="C865" s="16"/>
      <c r="D865" s="16"/>
      <c r="E865" s="16"/>
      <c r="F865" s="16"/>
      <c r="G865" s="16"/>
      <c r="H865" s="16"/>
      <c r="I865" s="16"/>
      <c r="J865" s="16"/>
      <c r="K865" s="16"/>
      <c r="L865" s="16"/>
      <c r="M865" s="16"/>
      <c r="AH865" s="16"/>
      <c r="AI865" s="16"/>
      <c r="AJ865" s="16"/>
      <c r="AK865" s="16"/>
      <c r="AL865" s="16"/>
      <c r="AM865" s="16"/>
      <c r="AN865" s="16"/>
      <c r="AO865" s="16"/>
      <c r="AP865" s="16"/>
      <c r="AQ865" s="16"/>
      <c r="AR865" s="16"/>
      <c r="AS865" s="16"/>
    </row>
    <row r="866" spans="1:45" s="8" customFormat="1" x14ac:dyDescent="0.35">
      <c r="A866" s="16"/>
      <c r="B866" s="16"/>
      <c r="C866" s="16"/>
      <c r="D866" s="16"/>
      <c r="E866" s="16"/>
      <c r="F866" s="16"/>
      <c r="G866" s="16"/>
      <c r="H866" s="16"/>
      <c r="I866" s="16"/>
      <c r="J866" s="16"/>
      <c r="K866" s="16"/>
      <c r="L866" s="16"/>
      <c r="M866" s="16"/>
      <c r="AH866" s="16"/>
      <c r="AI866" s="16"/>
      <c r="AJ866" s="16"/>
      <c r="AK866" s="16"/>
      <c r="AL866" s="16"/>
      <c r="AM866" s="16"/>
      <c r="AN866" s="16"/>
      <c r="AO866" s="16"/>
      <c r="AP866" s="16"/>
      <c r="AQ866" s="16"/>
      <c r="AR866" s="16"/>
      <c r="AS866" s="16"/>
    </row>
    <row r="867" spans="1:45" s="8" customFormat="1" x14ac:dyDescent="0.35">
      <c r="A867" s="16"/>
      <c r="B867" s="16"/>
      <c r="C867" s="16"/>
      <c r="D867" s="16"/>
      <c r="E867" s="16"/>
      <c r="F867" s="16"/>
      <c r="G867" s="16"/>
      <c r="H867" s="16"/>
      <c r="I867" s="16"/>
      <c r="J867" s="16"/>
      <c r="K867" s="16"/>
      <c r="L867" s="16"/>
      <c r="M867" s="16"/>
      <c r="AH867" s="16"/>
      <c r="AI867" s="16"/>
      <c r="AJ867" s="16"/>
      <c r="AK867" s="16"/>
      <c r="AL867" s="16"/>
      <c r="AM867" s="16"/>
      <c r="AN867" s="16"/>
      <c r="AO867" s="16"/>
      <c r="AP867" s="16"/>
      <c r="AQ867" s="16"/>
      <c r="AR867" s="16"/>
      <c r="AS867" s="16"/>
    </row>
    <row r="868" spans="1:45" s="8" customFormat="1" x14ac:dyDescent="0.35">
      <c r="A868" s="16"/>
      <c r="B868" s="16"/>
      <c r="C868" s="16"/>
      <c r="D868" s="16"/>
      <c r="E868" s="16"/>
      <c r="F868" s="16"/>
      <c r="G868" s="16"/>
      <c r="H868" s="16"/>
      <c r="I868" s="16"/>
      <c r="J868" s="16"/>
      <c r="K868" s="16"/>
      <c r="L868" s="16"/>
      <c r="M868" s="16"/>
      <c r="AH868" s="16"/>
      <c r="AI868" s="16"/>
      <c r="AJ868" s="16"/>
      <c r="AK868" s="16"/>
      <c r="AL868" s="16"/>
      <c r="AM868" s="16"/>
      <c r="AN868" s="16"/>
      <c r="AO868" s="16"/>
      <c r="AP868" s="16"/>
      <c r="AQ868" s="16"/>
      <c r="AR868" s="16"/>
      <c r="AS868" s="16"/>
    </row>
    <row r="869" spans="1:45" s="8" customFormat="1" x14ac:dyDescent="0.35">
      <c r="A869" s="16"/>
      <c r="B869" s="16"/>
      <c r="C869" s="16"/>
      <c r="D869" s="16"/>
      <c r="E869" s="16"/>
      <c r="F869" s="16"/>
      <c r="G869" s="16"/>
      <c r="H869" s="16"/>
      <c r="I869" s="16"/>
      <c r="J869" s="16"/>
      <c r="K869" s="16"/>
      <c r="L869" s="16"/>
      <c r="M869" s="16"/>
      <c r="AH869" s="16"/>
      <c r="AI869" s="16"/>
      <c r="AJ869" s="16"/>
      <c r="AK869" s="16"/>
      <c r="AL869" s="16"/>
      <c r="AM869" s="16"/>
      <c r="AN869" s="16"/>
      <c r="AO869" s="16"/>
      <c r="AP869" s="16"/>
      <c r="AQ869" s="16"/>
      <c r="AR869" s="16"/>
      <c r="AS869" s="16"/>
    </row>
    <row r="870" spans="1:45" s="8" customFormat="1" x14ac:dyDescent="0.35">
      <c r="A870" s="16"/>
      <c r="B870" s="16"/>
      <c r="C870" s="16"/>
      <c r="D870" s="16"/>
      <c r="E870" s="16"/>
      <c r="F870" s="16"/>
      <c r="G870" s="16"/>
      <c r="H870" s="16"/>
      <c r="I870" s="16"/>
      <c r="J870" s="16"/>
      <c r="K870" s="16"/>
      <c r="L870" s="16"/>
      <c r="M870" s="16"/>
      <c r="AH870" s="16"/>
      <c r="AI870" s="16"/>
      <c r="AJ870" s="16"/>
      <c r="AK870" s="16"/>
      <c r="AL870" s="16"/>
      <c r="AM870" s="16"/>
      <c r="AN870" s="16"/>
      <c r="AO870" s="16"/>
      <c r="AP870" s="16"/>
      <c r="AQ870" s="16"/>
      <c r="AR870" s="16"/>
      <c r="AS870" s="16"/>
    </row>
    <row r="871" spans="1:45" s="8" customFormat="1" x14ac:dyDescent="0.35">
      <c r="A871" s="16"/>
      <c r="B871" s="16"/>
      <c r="C871" s="16"/>
      <c r="D871" s="16"/>
      <c r="E871" s="16"/>
      <c r="F871" s="16"/>
      <c r="G871" s="16"/>
      <c r="H871" s="16"/>
      <c r="I871" s="16"/>
      <c r="J871" s="16"/>
      <c r="K871" s="16"/>
      <c r="L871" s="16"/>
      <c r="M871" s="16"/>
      <c r="AH871" s="16"/>
      <c r="AI871" s="16"/>
      <c r="AJ871" s="16"/>
      <c r="AK871" s="16"/>
      <c r="AL871" s="16"/>
      <c r="AM871" s="16"/>
      <c r="AN871" s="16"/>
      <c r="AO871" s="16"/>
      <c r="AP871" s="16"/>
      <c r="AQ871" s="16"/>
      <c r="AR871" s="16"/>
      <c r="AS871" s="16"/>
    </row>
    <row r="872" spans="1:45" s="8" customFormat="1" x14ac:dyDescent="0.35">
      <c r="A872" s="16"/>
      <c r="B872" s="16"/>
      <c r="C872" s="16"/>
      <c r="D872" s="16"/>
      <c r="E872" s="16"/>
      <c r="F872" s="16"/>
      <c r="G872" s="16"/>
      <c r="H872" s="16"/>
      <c r="I872" s="16"/>
      <c r="J872" s="16"/>
      <c r="K872" s="16"/>
      <c r="L872" s="16"/>
      <c r="M872" s="16"/>
      <c r="AH872" s="16"/>
      <c r="AI872" s="16"/>
      <c r="AJ872" s="16"/>
      <c r="AK872" s="16"/>
      <c r="AL872" s="16"/>
      <c r="AM872" s="16"/>
      <c r="AN872" s="16"/>
      <c r="AO872" s="16"/>
      <c r="AP872" s="16"/>
      <c r="AQ872" s="16"/>
      <c r="AR872" s="16"/>
      <c r="AS872" s="16"/>
    </row>
    <row r="873" spans="1:45" s="8" customFormat="1" x14ac:dyDescent="0.35">
      <c r="A873" s="16"/>
      <c r="B873" s="16"/>
      <c r="C873" s="16"/>
      <c r="D873" s="16"/>
      <c r="E873" s="16"/>
      <c r="F873" s="16"/>
      <c r="G873" s="16"/>
      <c r="H873" s="16"/>
      <c r="I873" s="16"/>
      <c r="J873" s="16"/>
      <c r="K873" s="16"/>
      <c r="L873" s="16"/>
      <c r="M873" s="16"/>
      <c r="AH873" s="16"/>
      <c r="AI873" s="16"/>
      <c r="AJ873" s="16"/>
      <c r="AK873" s="16"/>
      <c r="AL873" s="16"/>
      <c r="AM873" s="16"/>
      <c r="AN873" s="16"/>
      <c r="AO873" s="16"/>
      <c r="AP873" s="16"/>
      <c r="AQ873" s="16"/>
      <c r="AR873" s="16"/>
      <c r="AS873" s="16"/>
    </row>
    <row r="874" spans="1:45" s="8" customFormat="1" x14ac:dyDescent="0.35">
      <c r="A874" s="16"/>
      <c r="B874" s="16"/>
      <c r="C874" s="16"/>
      <c r="D874" s="16"/>
      <c r="E874" s="16"/>
      <c r="F874" s="16"/>
      <c r="G874" s="16"/>
      <c r="H874" s="16"/>
      <c r="I874" s="16"/>
      <c r="J874" s="16"/>
      <c r="K874" s="16"/>
      <c r="L874" s="16"/>
      <c r="M874" s="16"/>
      <c r="AH874" s="16"/>
      <c r="AI874" s="16"/>
      <c r="AJ874" s="16"/>
      <c r="AK874" s="16"/>
      <c r="AL874" s="16"/>
      <c r="AM874" s="16"/>
      <c r="AN874" s="16"/>
      <c r="AO874" s="16"/>
      <c r="AP874" s="16"/>
      <c r="AQ874" s="16"/>
      <c r="AR874" s="16"/>
      <c r="AS874" s="16"/>
    </row>
    <row r="875" spans="1:45" s="8" customFormat="1" x14ac:dyDescent="0.35">
      <c r="A875" s="16"/>
      <c r="B875" s="16"/>
      <c r="C875" s="16"/>
      <c r="D875" s="16"/>
      <c r="E875" s="16"/>
      <c r="F875" s="16"/>
      <c r="G875" s="16"/>
      <c r="H875" s="16"/>
      <c r="I875" s="16"/>
      <c r="J875" s="16"/>
      <c r="K875" s="16"/>
      <c r="L875" s="16"/>
      <c r="M875" s="16"/>
      <c r="AH875" s="16"/>
      <c r="AI875" s="16"/>
      <c r="AJ875" s="16"/>
      <c r="AK875" s="16"/>
      <c r="AL875" s="16"/>
      <c r="AM875" s="16"/>
      <c r="AN875" s="16"/>
      <c r="AO875" s="16"/>
      <c r="AP875" s="16"/>
      <c r="AQ875" s="16"/>
      <c r="AR875" s="16"/>
      <c r="AS875" s="16"/>
    </row>
    <row r="876" spans="1:45" s="8" customFormat="1" x14ac:dyDescent="0.35">
      <c r="A876" s="16"/>
      <c r="B876" s="16"/>
      <c r="C876" s="16"/>
      <c r="D876" s="16"/>
      <c r="E876" s="16"/>
      <c r="F876" s="16"/>
      <c r="G876" s="16"/>
      <c r="H876" s="16"/>
      <c r="I876" s="16"/>
      <c r="J876" s="16"/>
      <c r="K876" s="16"/>
      <c r="L876" s="16"/>
      <c r="M876" s="16"/>
      <c r="AH876" s="16"/>
      <c r="AI876" s="16"/>
      <c r="AJ876" s="16"/>
      <c r="AK876" s="16"/>
      <c r="AL876" s="16"/>
      <c r="AM876" s="16"/>
      <c r="AN876" s="16"/>
      <c r="AO876" s="16"/>
      <c r="AP876" s="16"/>
      <c r="AQ876" s="16"/>
      <c r="AR876" s="16"/>
      <c r="AS876" s="16"/>
    </row>
    <row r="877" spans="1:45" s="8" customFormat="1" x14ac:dyDescent="0.35">
      <c r="A877" s="16"/>
      <c r="B877" s="16"/>
      <c r="C877" s="16"/>
      <c r="D877" s="16"/>
      <c r="E877" s="16"/>
      <c r="F877" s="16"/>
      <c r="G877" s="16"/>
      <c r="H877" s="16"/>
      <c r="I877" s="16"/>
      <c r="J877" s="16"/>
      <c r="K877" s="16"/>
      <c r="L877" s="16"/>
      <c r="M877" s="16"/>
      <c r="AH877" s="16"/>
      <c r="AI877" s="16"/>
      <c r="AJ877" s="16"/>
      <c r="AK877" s="16"/>
      <c r="AL877" s="16"/>
      <c r="AM877" s="16"/>
      <c r="AN877" s="16"/>
      <c r="AO877" s="16"/>
      <c r="AP877" s="16"/>
      <c r="AQ877" s="16"/>
      <c r="AR877" s="16"/>
      <c r="AS877" s="16"/>
    </row>
    <row r="878" spans="1:45" s="8" customFormat="1" x14ac:dyDescent="0.35">
      <c r="A878" s="16"/>
      <c r="B878" s="16"/>
      <c r="C878" s="16"/>
      <c r="D878" s="16"/>
      <c r="E878" s="16"/>
      <c r="F878" s="16"/>
      <c r="G878" s="16"/>
      <c r="H878" s="16"/>
      <c r="I878" s="16"/>
      <c r="J878" s="16"/>
      <c r="K878" s="16"/>
      <c r="L878" s="16"/>
      <c r="M878" s="16"/>
      <c r="AH878" s="16"/>
      <c r="AI878" s="16"/>
      <c r="AJ878" s="16"/>
      <c r="AK878" s="16"/>
      <c r="AL878" s="16"/>
      <c r="AM878" s="16"/>
      <c r="AN878" s="16"/>
      <c r="AO878" s="16"/>
      <c r="AP878" s="16"/>
      <c r="AQ878" s="16"/>
      <c r="AR878" s="16"/>
      <c r="AS878" s="16"/>
    </row>
    <row r="879" spans="1:45" s="8" customFormat="1" x14ac:dyDescent="0.35">
      <c r="A879" s="16"/>
      <c r="B879" s="16"/>
      <c r="C879" s="16"/>
      <c r="D879" s="16"/>
      <c r="E879" s="16"/>
      <c r="F879" s="16"/>
      <c r="G879" s="16"/>
      <c r="H879" s="16"/>
      <c r="I879" s="16"/>
      <c r="J879" s="16"/>
      <c r="K879" s="16"/>
      <c r="L879" s="16"/>
      <c r="M879" s="16"/>
      <c r="AH879" s="16"/>
      <c r="AI879" s="16"/>
      <c r="AJ879" s="16"/>
      <c r="AK879" s="16"/>
      <c r="AL879" s="16"/>
      <c r="AM879" s="16"/>
      <c r="AN879" s="16"/>
      <c r="AO879" s="16"/>
      <c r="AP879" s="16"/>
      <c r="AQ879" s="16"/>
      <c r="AR879" s="16"/>
      <c r="AS879" s="16"/>
    </row>
    <row r="880" spans="1:45" s="8" customFormat="1" x14ac:dyDescent="0.35">
      <c r="A880" s="16"/>
      <c r="B880" s="16"/>
      <c r="C880" s="16"/>
      <c r="D880" s="16"/>
      <c r="E880" s="16"/>
      <c r="F880" s="16"/>
      <c r="G880" s="16"/>
      <c r="H880" s="16"/>
      <c r="I880" s="16"/>
      <c r="J880" s="16"/>
      <c r="K880" s="16"/>
      <c r="L880" s="16"/>
      <c r="M880" s="16"/>
      <c r="AH880" s="16"/>
      <c r="AI880" s="16"/>
      <c r="AJ880" s="16"/>
      <c r="AK880" s="16"/>
      <c r="AL880" s="16"/>
      <c r="AM880" s="16"/>
      <c r="AN880" s="16"/>
      <c r="AO880" s="16"/>
      <c r="AP880" s="16"/>
      <c r="AQ880" s="16"/>
      <c r="AR880" s="16"/>
      <c r="AS880" s="16"/>
    </row>
    <row r="881" spans="1:45" s="8" customFormat="1" x14ac:dyDescent="0.35">
      <c r="A881" s="16"/>
      <c r="B881" s="16"/>
      <c r="C881" s="16"/>
      <c r="D881" s="16"/>
      <c r="E881" s="16"/>
      <c r="F881" s="16"/>
      <c r="G881" s="16"/>
      <c r="H881" s="16"/>
      <c r="I881" s="16"/>
      <c r="J881" s="16"/>
      <c r="K881" s="16"/>
      <c r="L881" s="16"/>
      <c r="M881" s="16"/>
      <c r="AH881" s="16"/>
      <c r="AI881" s="16"/>
      <c r="AJ881" s="16"/>
      <c r="AK881" s="16"/>
      <c r="AL881" s="16"/>
      <c r="AM881" s="16"/>
      <c r="AN881" s="16"/>
      <c r="AO881" s="16"/>
      <c r="AP881" s="16"/>
      <c r="AQ881" s="16"/>
      <c r="AR881" s="16"/>
      <c r="AS881" s="16"/>
    </row>
    <row r="882" spans="1:45" s="8" customFormat="1" x14ac:dyDescent="0.35">
      <c r="A882" s="16"/>
      <c r="B882" s="16"/>
      <c r="C882" s="16"/>
      <c r="D882" s="16"/>
      <c r="E882" s="16"/>
      <c r="F882" s="16"/>
      <c r="G882" s="16"/>
      <c r="H882" s="16"/>
      <c r="I882" s="16"/>
      <c r="J882" s="16"/>
      <c r="K882" s="16"/>
      <c r="L882" s="16"/>
      <c r="M882" s="16"/>
      <c r="AH882" s="16"/>
      <c r="AI882" s="16"/>
      <c r="AJ882" s="16"/>
      <c r="AK882" s="16"/>
      <c r="AL882" s="16"/>
      <c r="AM882" s="16"/>
      <c r="AN882" s="16"/>
      <c r="AO882" s="16"/>
      <c r="AP882" s="16"/>
      <c r="AQ882" s="16"/>
      <c r="AR882" s="16"/>
      <c r="AS882" s="16"/>
    </row>
    <row r="883" spans="1:45" s="8" customFormat="1" x14ac:dyDescent="0.35">
      <c r="A883" s="16"/>
      <c r="B883" s="16"/>
      <c r="C883" s="16"/>
      <c r="D883" s="16"/>
      <c r="E883" s="16"/>
      <c r="F883" s="16"/>
      <c r="G883" s="16"/>
      <c r="H883" s="16"/>
      <c r="I883" s="16"/>
      <c r="J883" s="16"/>
      <c r="K883" s="16"/>
      <c r="L883" s="16"/>
      <c r="M883" s="16"/>
      <c r="AH883" s="16"/>
      <c r="AI883" s="16"/>
      <c r="AJ883" s="16"/>
      <c r="AK883" s="16"/>
      <c r="AL883" s="16"/>
      <c r="AM883" s="16"/>
      <c r="AN883" s="16"/>
      <c r="AO883" s="16"/>
      <c r="AP883" s="16"/>
      <c r="AQ883" s="16"/>
      <c r="AR883" s="16"/>
      <c r="AS883" s="16"/>
    </row>
    <row r="884" spans="1:45" s="8" customFormat="1" x14ac:dyDescent="0.35">
      <c r="A884" s="16"/>
      <c r="B884" s="16"/>
      <c r="C884" s="16"/>
      <c r="D884" s="16"/>
      <c r="E884" s="16"/>
      <c r="F884" s="16"/>
      <c r="G884" s="16"/>
      <c r="H884" s="16"/>
      <c r="I884" s="16"/>
      <c r="J884" s="16"/>
      <c r="K884" s="16"/>
      <c r="L884" s="16"/>
      <c r="M884" s="16"/>
      <c r="AH884" s="16"/>
      <c r="AI884" s="16"/>
      <c r="AJ884" s="16"/>
      <c r="AK884" s="16"/>
      <c r="AL884" s="16"/>
      <c r="AM884" s="16"/>
      <c r="AN884" s="16"/>
      <c r="AO884" s="16"/>
      <c r="AP884" s="16"/>
      <c r="AQ884" s="16"/>
      <c r="AR884" s="16"/>
      <c r="AS884" s="16"/>
    </row>
    <row r="885" spans="1:45" s="8" customFormat="1" x14ac:dyDescent="0.35">
      <c r="A885" s="16"/>
      <c r="B885" s="16"/>
      <c r="C885" s="16"/>
      <c r="D885" s="16"/>
      <c r="E885" s="16"/>
      <c r="F885" s="16"/>
      <c r="G885" s="16"/>
      <c r="H885" s="16"/>
      <c r="I885" s="16"/>
      <c r="J885" s="16"/>
      <c r="K885" s="16"/>
      <c r="L885" s="16"/>
      <c r="M885" s="16"/>
      <c r="AH885" s="16"/>
      <c r="AI885" s="16"/>
      <c r="AJ885" s="16"/>
      <c r="AK885" s="16"/>
      <c r="AL885" s="16"/>
      <c r="AM885" s="16"/>
      <c r="AN885" s="16"/>
      <c r="AO885" s="16"/>
      <c r="AP885" s="16"/>
      <c r="AQ885" s="16"/>
      <c r="AR885" s="16"/>
      <c r="AS885" s="16"/>
    </row>
    <row r="886" spans="1:45" s="8" customFormat="1" x14ac:dyDescent="0.35">
      <c r="A886" s="16"/>
      <c r="B886" s="16"/>
      <c r="C886" s="16"/>
      <c r="D886" s="16"/>
      <c r="E886" s="16"/>
      <c r="F886" s="16"/>
      <c r="G886" s="16"/>
      <c r="H886" s="16"/>
      <c r="I886" s="16"/>
      <c r="J886" s="16"/>
      <c r="K886" s="16"/>
      <c r="L886" s="16"/>
      <c r="M886" s="16"/>
      <c r="AH886" s="16"/>
      <c r="AI886" s="16"/>
      <c r="AJ886" s="16"/>
      <c r="AK886" s="16"/>
      <c r="AL886" s="16"/>
      <c r="AM886" s="16"/>
      <c r="AN886" s="16"/>
      <c r="AO886" s="16"/>
      <c r="AP886" s="16"/>
      <c r="AQ886" s="16"/>
      <c r="AR886" s="16"/>
      <c r="AS886" s="16"/>
    </row>
    <row r="887" spans="1:45" s="8" customFormat="1" x14ac:dyDescent="0.35">
      <c r="A887" s="16"/>
      <c r="B887" s="16"/>
      <c r="C887" s="16"/>
      <c r="D887" s="16"/>
      <c r="E887" s="16"/>
      <c r="F887" s="16"/>
      <c r="G887" s="16"/>
      <c r="H887" s="16"/>
      <c r="I887" s="16"/>
      <c r="J887" s="16"/>
      <c r="K887" s="16"/>
      <c r="L887" s="16"/>
      <c r="M887" s="16"/>
      <c r="AH887" s="16"/>
      <c r="AI887" s="16"/>
      <c r="AJ887" s="16"/>
      <c r="AK887" s="16"/>
      <c r="AL887" s="16"/>
      <c r="AM887" s="16"/>
      <c r="AN887" s="16"/>
      <c r="AO887" s="16"/>
      <c r="AP887" s="16"/>
      <c r="AQ887" s="16"/>
      <c r="AR887" s="16"/>
      <c r="AS887" s="16"/>
    </row>
    <row r="888" spans="1:45" s="8" customFormat="1" x14ac:dyDescent="0.35">
      <c r="A888" s="16"/>
      <c r="B888" s="16"/>
      <c r="C888" s="16"/>
      <c r="D888" s="16"/>
      <c r="E888" s="16"/>
      <c r="F888" s="16"/>
      <c r="G888" s="16"/>
      <c r="H888" s="16"/>
      <c r="I888" s="16"/>
      <c r="J888" s="16"/>
      <c r="K888" s="16"/>
      <c r="L888" s="16"/>
      <c r="M888" s="16"/>
      <c r="AH888" s="16"/>
      <c r="AI888" s="16"/>
      <c r="AJ888" s="16"/>
      <c r="AK888" s="16"/>
      <c r="AL888" s="16"/>
      <c r="AM888" s="16"/>
      <c r="AN888" s="16"/>
      <c r="AO888" s="16"/>
      <c r="AP888" s="16"/>
      <c r="AQ888" s="16"/>
      <c r="AR888" s="16"/>
      <c r="AS888" s="16"/>
    </row>
    <row r="889" spans="1:45" s="8" customFormat="1" x14ac:dyDescent="0.35">
      <c r="A889" s="16"/>
      <c r="B889" s="16"/>
      <c r="C889" s="16"/>
      <c r="D889" s="16"/>
      <c r="E889" s="16"/>
      <c r="F889" s="16"/>
      <c r="G889" s="16"/>
      <c r="H889" s="16"/>
      <c r="I889" s="16"/>
      <c r="J889" s="16"/>
      <c r="K889" s="16"/>
      <c r="L889" s="16"/>
      <c r="M889" s="16"/>
      <c r="AH889" s="16"/>
      <c r="AI889" s="16"/>
      <c r="AJ889" s="16"/>
      <c r="AK889" s="16"/>
      <c r="AL889" s="16"/>
      <c r="AM889" s="16"/>
      <c r="AN889" s="16"/>
      <c r="AO889" s="16"/>
      <c r="AP889" s="16"/>
      <c r="AQ889" s="16"/>
      <c r="AR889" s="16"/>
      <c r="AS889" s="16"/>
    </row>
    <row r="890" spans="1:45" s="8" customFormat="1" x14ac:dyDescent="0.35">
      <c r="A890" s="16"/>
      <c r="B890" s="16"/>
      <c r="C890" s="16"/>
      <c r="D890" s="16"/>
      <c r="E890" s="16"/>
      <c r="F890" s="16"/>
      <c r="G890" s="16"/>
      <c r="H890" s="16"/>
      <c r="I890" s="16"/>
      <c r="J890" s="16"/>
      <c r="K890" s="16"/>
      <c r="L890" s="16"/>
      <c r="M890" s="16"/>
      <c r="AH890" s="16"/>
      <c r="AI890" s="16"/>
      <c r="AJ890" s="16"/>
      <c r="AK890" s="16"/>
      <c r="AL890" s="16"/>
      <c r="AM890" s="16"/>
      <c r="AN890" s="16"/>
      <c r="AO890" s="16"/>
      <c r="AP890" s="16"/>
      <c r="AQ890" s="16"/>
      <c r="AR890" s="16"/>
      <c r="AS890" s="16"/>
    </row>
    <row r="891" spans="1:45" s="8" customFormat="1" x14ac:dyDescent="0.35">
      <c r="A891" s="16"/>
      <c r="B891" s="16"/>
      <c r="C891" s="16"/>
      <c r="D891" s="16"/>
      <c r="E891" s="16"/>
      <c r="F891" s="16"/>
      <c r="G891" s="16"/>
      <c r="H891" s="16"/>
      <c r="I891" s="16"/>
      <c r="J891" s="16"/>
      <c r="K891" s="16"/>
      <c r="L891" s="16"/>
      <c r="M891" s="16"/>
      <c r="AH891" s="16"/>
      <c r="AI891" s="16"/>
      <c r="AJ891" s="16"/>
      <c r="AK891" s="16"/>
      <c r="AL891" s="16"/>
      <c r="AM891" s="16"/>
      <c r="AN891" s="16"/>
      <c r="AO891" s="16"/>
      <c r="AP891" s="16"/>
      <c r="AQ891" s="16"/>
      <c r="AR891" s="16"/>
      <c r="AS891" s="16"/>
    </row>
    <row r="892" spans="1:45" s="8" customFormat="1" x14ac:dyDescent="0.35">
      <c r="A892" s="16"/>
      <c r="B892" s="16"/>
      <c r="C892" s="16"/>
      <c r="D892" s="16"/>
      <c r="E892" s="16"/>
      <c r="F892" s="16"/>
      <c r="G892" s="16"/>
      <c r="H892" s="16"/>
      <c r="I892" s="16"/>
      <c r="J892" s="16"/>
      <c r="K892" s="16"/>
      <c r="L892" s="16"/>
      <c r="M892" s="16"/>
      <c r="AH892" s="16"/>
      <c r="AI892" s="16"/>
      <c r="AJ892" s="16"/>
      <c r="AK892" s="16"/>
      <c r="AL892" s="16"/>
      <c r="AM892" s="16"/>
      <c r="AN892" s="16"/>
      <c r="AO892" s="16"/>
      <c r="AP892" s="16"/>
      <c r="AQ892" s="16"/>
      <c r="AR892" s="16"/>
      <c r="AS892" s="16"/>
    </row>
    <row r="893" spans="1:45" s="8" customFormat="1" x14ac:dyDescent="0.35">
      <c r="A893" s="16"/>
      <c r="B893" s="16"/>
      <c r="C893" s="16"/>
      <c r="D893" s="16"/>
      <c r="E893" s="16"/>
      <c r="F893" s="16"/>
      <c r="G893" s="16"/>
      <c r="H893" s="16"/>
      <c r="I893" s="16"/>
      <c r="J893" s="16"/>
      <c r="K893" s="16"/>
      <c r="L893" s="16"/>
      <c r="M893" s="16"/>
      <c r="AH893" s="16"/>
      <c r="AI893" s="16"/>
      <c r="AJ893" s="16"/>
      <c r="AK893" s="16"/>
      <c r="AL893" s="16"/>
      <c r="AM893" s="16"/>
      <c r="AN893" s="16"/>
      <c r="AO893" s="16"/>
      <c r="AP893" s="16"/>
      <c r="AQ893" s="16"/>
      <c r="AR893" s="16"/>
      <c r="AS893" s="16"/>
    </row>
    <row r="894" spans="1:45" s="8" customFormat="1" x14ac:dyDescent="0.35">
      <c r="A894" s="16"/>
      <c r="B894" s="16"/>
      <c r="C894" s="16"/>
      <c r="D894" s="16"/>
      <c r="E894" s="16"/>
      <c r="F894" s="16"/>
      <c r="G894" s="16"/>
      <c r="H894" s="16"/>
      <c r="I894" s="16"/>
      <c r="J894" s="16"/>
      <c r="K894" s="16"/>
      <c r="L894" s="16"/>
      <c r="M894" s="16"/>
      <c r="AH894" s="16"/>
      <c r="AI894" s="16"/>
      <c r="AJ894" s="16"/>
      <c r="AK894" s="16"/>
      <c r="AL894" s="16"/>
      <c r="AM894" s="16"/>
      <c r="AN894" s="16"/>
      <c r="AO894" s="16"/>
      <c r="AP894" s="16"/>
      <c r="AQ894" s="16"/>
      <c r="AR894" s="16"/>
      <c r="AS894" s="16"/>
    </row>
    <row r="895" spans="1:45" s="8" customFormat="1" x14ac:dyDescent="0.35">
      <c r="A895" s="16"/>
      <c r="B895" s="16"/>
      <c r="C895" s="16"/>
      <c r="D895" s="16"/>
      <c r="E895" s="16"/>
      <c r="F895" s="16"/>
      <c r="G895" s="16"/>
      <c r="H895" s="16"/>
      <c r="I895" s="16"/>
      <c r="J895" s="16"/>
      <c r="K895" s="16"/>
      <c r="L895" s="16"/>
      <c r="M895" s="16"/>
      <c r="AH895" s="16"/>
      <c r="AI895" s="16"/>
      <c r="AJ895" s="16"/>
      <c r="AK895" s="16"/>
      <c r="AL895" s="16"/>
      <c r="AM895" s="16"/>
      <c r="AN895" s="16"/>
      <c r="AO895" s="16"/>
      <c r="AP895" s="16"/>
      <c r="AQ895" s="16"/>
      <c r="AR895" s="16"/>
      <c r="AS895" s="16"/>
    </row>
    <row r="896" spans="1:45" s="8" customFormat="1" x14ac:dyDescent="0.35">
      <c r="A896" s="16"/>
      <c r="B896" s="16"/>
      <c r="C896" s="16"/>
      <c r="D896" s="16"/>
      <c r="E896" s="16"/>
      <c r="F896" s="16"/>
      <c r="G896" s="16"/>
      <c r="H896" s="16"/>
      <c r="I896" s="16"/>
      <c r="J896" s="16"/>
      <c r="K896" s="16"/>
      <c r="L896" s="16"/>
      <c r="M896" s="16"/>
      <c r="AH896" s="16"/>
      <c r="AI896" s="16"/>
      <c r="AJ896" s="16"/>
      <c r="AK896" s="16"/>
      <c r="AL896" s="16"/>
      <c r="AM896" s="16"/>
      <c r="AN896" s="16"/>
      <c r="AO896" s="16"/>
      <c r="AP896" s="16"/>
      <c r="AQ896" s="16"/>
      <c r="AR896" s="16"/>
      <c r="AS896" s="16"/>
    </row>
    <row r="897" spans="1:45" s="8" customFormat="1" x14ac:dyDescent="0.35">
      <c r="A897" s="16"/>
      <c r="B897" s="16"/>
      <c r="C897" s="16"/>
      <c r="D897" s="16"/>
      <c r="E897" s="16"/>
      <c r="F897" s="16"/>
      <c r="G897" s="16"/>
      <c r="H897" s="16"/>
      <c r="I897" s="16"/>
      <c r="J897" s="16"/>
      <c r="K897" s="16"/>
      <c r="L897" s="16"/>
      <c r="M897" s="16"/>
      <c r="AH897" s="16"/>
      <c r="AI897" s="16"/>
      <c r="AJ897" s="16"/>
      <c r="AK897" s="16"/>
      <c r="AL897" s="16"/>
      <c r="AM897" s="16"/>
      <c r="AN897" s="16"/>
      <c r="AO897" s="16"/>
      <c r="AP897" s="16"/>
      <c r="AQ897" s="16"/>
      <c r="AR897" s="16"/>
      <c r="AS897" s="16"/>
    </row>
    <row r="898" spans="1:45" s="8" customFormat="1" x14ac:dyDescent="0.35">
      <c r="A898" s="16"/>
      <c r="B898" s="16"/>
      <c r="C898" s="16"/>
      <c r="D898" s="16"/>
      <c r="E898" s="16"/>
      <c r="F898" s="16"/>
      <c r="G898" s="16"/>
      <c r="H898" s="16"/>
      <c r="I898" s="16"/>
      <c r="J898" s="16"/>
      <c r="K898" s="16"/>
      <c r="L898" s="16"/>
      <c r="M898" s="16"/>
      <c r="AH898" s="16"/>
      <c r="AI898" s="16"/>
      <c r="AJ898" s="16"/>
      <c r="AK898" s="16"/>
      <c r="AL898" s="16"/>
      <c r="AM898" s="16"/>
      <c r="AN898" s="16"/>
      <c r="AO898" s="16"/>
      <c r="AP898" s="16"/>
      <c r="AQ898" s="16"/>
      <c r="AR898" s="16"/>
      <c r="AS898" s="16"/>
    </row>
    <row r="899" spans="1:45" s="8" customFormat="1" x14ac:dyDescent="0.35">
      <c r="A899" s="16"/>
      <c r="B899" s="16"/>
      <c r="C899" s="16"/>
      <c r="D899" s="16"/>
      <c r="E899" s="16"/>
      <c r="F899" s="16"/>
      <c r="G899" s="16"/>
      <c r="H899" s="16"/>
      <c r="I899" s="16"/>
      <c r="J899" s="16"/>
      <c r="K899" s="16"/>
      <c r="L899" s="16"/>
      <c r="M899" s="16"/>
      <c r="AH899" s="16"/>
      <c r="AI899" s="16"/>
      <c r="AJ899" s="16"/>
      <c r="AK899" s="16"/>
      <c r="AL899" s="16"/>
      <c r="AM899" s="16"/>
      <c r="AN899" s="16"/>
      <c r="AO899" s="16"/>
      <c r="AP899" s="16"/>
      <c r="AQ899" s="16"/>
      <c r="AR899" s="16"/>
      <c r="AS899" s="16"/>
    </row>
    <row r="900" spans="1:45" s="8" customFormat="1" x14ac:dyDescent="0.35">
      <c r="A900" s="16"/>
      <c r="B900" s="16"/>
      <c r="C900" s="16"/>
      <c r="D900" s="16"/>
      <c r="E900" s="16"/>
      <c r="F900" s="16"/>
      <c r="G900" s="16"/>
      <c r="H900" s="16"/>
      <c r="I900" s="16"/>
      <c r="J900" s="16"/>
      <c r="K900" s="16"/>
      <c r="L900" s="16"/>
      <c r="M900" s="16"/>
      <c r="AH900" s="16"/>
      <c r="AI900" s="16"/>
      <c r="AJ900" s="16"/>
      <c r="AK900" s="16"/>
      <c r="AL900" s="16"/>
      <c r="AM900" s="16"/>
      <c r="AN900" s="16"/>
      <c r="AO900" s="16"/>
      <c r="AP900" s="16"/>
      <c r="AQ900" s="16"/>
      <c r="AR900" s="16"/>
      <c r="AS900" s="16"/>
    </row>
    <row r="901" spans="1:45" s="8" customFormat="1" x14ac:dyDescent="0.35">
      <c r="A901" s="16"/>
      <c r="B901" s="16"/>
      <c r="C901" s="16"/>
      <c r="D901" s="16"/>
      <c r="E901" s="16"/>
      <c r="F901" s="16"/>
      <c r="G901" s="16"/>
      <c r="H901" s="16"/>
      <c r="I901" s="16"/>
      <c r="J901" s="16"/>
      <c r="K901" s="16"/>
      <c r="L901" s="16"/>
      <c r="M901" s="16"/>
      <c r="AH901" s="16"/>
      <c r="AI901" s="16"/>
      <c r="AJ901" s="16"/>
      <c r="AK901" s="16"/>
      <c r="AL901" s="16"/>
      <c r="AM901" s="16"/>
      <c r="AN901" s="16"/>
      <c r="AO901" s="16"/>
      <c r="AP901" s="16"/>
      <c r="AQ901" s="16"/>
      <c r="AR901" s="16"/>
      <c r="AS901" s="16"/>
    </row>
    <row r="902" spans="1:45" s="8" customFormat="1" x14ac:dyDescent="0.35">
      <c r="A902" s="16"/>
      <c r="B902" s="16"/>
      <c r="C902" s="16"/>
      <c r="D902" s="16"/>
      <c r="E902" s="16"/>
      <c r="F902" s="16"/>
      <c r="G902" s="16"/>
      <c r="H902" s="16"/>
      <c r="I902" s="16"/>
      <c r="J902" s="16"/>
      <c r="K902" s="16"/>
      <c r="L902" s="16"/>
      <c r="M902" s="16"/>
      <c r="AH902" s="16"/>
      <c r="AI902" s="16"/>
      <c r="AJ902" s="16"/>
      <c r="AK902" s="16"/>
      <c r="AL902" s="16"/>
      <c r="AM902" s="16"/>
      <c r="AN902" s="16"/>
      <c r="AO902" s="16"/>
      <c r="AP902" s="16"/>
      <c r="AQ902" s="16"/>
      <c r="AR902" s="16"/>
      <c r="AS902" s="16"/>
    </row>
    <row r="903" spans="1:45" s="8" customFormat="1" x14ac:dyDescent="0.35">
      <c r="A903" s="16"/>
      <c r="B903" s="16"/>
      <c r="C903" s="16"/>
      <c r="D903" s="16"/>
      <c r="E903" s="16"/>
      <c r="F903" s="16"/>
      <c r="G903" s="16"/>
      <c r="H903" s="16"/>
      <c r="I903" s="16"/>
      <c r="J903" s="16"/>
      <c r="K903" s="16"/>
      <c r="L903" s="16"/>
      <c r="M903" s="16"/>
      <c r="AH903" s="16"/>
      <c r="AI903" s="16"/>
      <c r="AJ903" s="16"/>
      <c r="AK903" s="16"/>
      <c r="AL903" s="16"/>
      <c r="AM903" s="16"/>
      <c r="AN903" s="16"/>
      <c r="AO903" s="16"/>
      <c r="AP903" s="16"/>
      <c r="AQ903" s="16"/>
      <c r="AR903" s="16"/>
      <c r="AS903" s="16"/>
    </row>
    <row r="904" spans="1:45" x14ac:dyDescent="0.35">
      <c r="N904" s="8"/>
      <c r="O904" s="8"/>
      <c r="P904" s="8"/>
      <c r="Q904" s="8"/>
      <c r="R904" s="8"/>
      <c r="S904" s="8"/>
      <c r="T904" s="8"/>
      <c r="U904" s="8"/>
      <c r="V904" s="8"/>
      <c r="W904" s="8"/>
      <c r="X904" s="8"/>
      <c r="Y904" s="8"/>
      <c r="Z904" s="8"/>
      <c r="AD904" s="8"/>
      <c r="AE904" s="8"/>
      <c r="AF904" s="8"/>
      <c r="AG904" s="8"/>
    </row>
    <row r="905" spans="1:45" x14ac:dyDescent="0.35">
      <c r="N905" s="8"/>
      <c r="O905" s="8"/>
      <c r="P905" s="8"/>
      <c r="Q905" s="8"/>
      <c r="R905" s="8"/>
      <c r="S905" s="8"/>
      <c r="T905" s="8"/>
      <c r="U905" s="8"/>
      <c r="V905" s="8"/>
      <c r="W905" s="8"/>
      <c r="X905" s="8"/>
      <c r="Y905" s="8"/>
      <c r="Z905" s="8"/>
      <c r="AD905" s="8"/>
      <c r="AE905" s="8"/>
      <c r="AF905" s="8"/>
      <c r="AG905" s="8"/>
    </row>
    <row r="906" spans="1:45" x14ac:dyDescent="0.35">
      <c r="N906" s="8"/>
      <c r="O906" s="8"/>
      <c r="P906" s="8"/>
      <c r="Q906" s="8"/>
      <c r="R906" s="8"/>
      <c r="S906" s="8"/>
      <c r="T906" s="8"/>
      <c r="U906" s="8"/>
      <c r="V906" s="8"/>
      <c r="W906" s="8"/>
      <c r="X906" s="8"/>
      <c r="Y906" s="8"/>
      <c r="Z906" s="8"/>
      <c r="AD906" s="8"/>
      <c r="AE906" s="8"/>
      <c r="AF906" s="8"/>
      <c r="AG906" s="8"/>
    </row>
    <row r="907" spans="1:45" x14ac:dyDescent="0.35">
      <c r="N907" s="8"/>
      <c r="O907" s="8"/>
      <c r="P907" s="8"/>
      <c r="Q907" s="8"/>
      <c r="R907" s="8"/>
      <c r="S907" s="8"/>
      <c r="T907" s="8"/>
      <c r="U907" s="8"/>
      <c r="V907" s="8"/>
      <c r="W907" s="8"/>
      <c r="X907" s="8"/>
      <c r="Y907" s="8"/>
      <c r="Z907" s="8"/>
      <c r="AD907" s="8"/>
      <c r="AE907" s="8"/>
      <c r="AF907" s="8"/>
      <c r="AG907" s="8"/>
    </row>
    <row r="908" spans="1:45" x14ac:dyDescent="0.35">
      <c r="N908" s="8"/>
      <c r="O908" s="8"/>
      <c r="P908" s="8"/>
      <c r="Q908" s="8"/>
      <c r="R908" s="8"/>
      <c r="S908" s="8"/>
      <c r="T908" s="8"/>
      <c r="U908" s="8"/>
      <c r="V908" s="8"/>
      <c r="W908" s="8"/>
      <c r="X908" s="8"/>
      <c r="Y908" s="8"/>
      <c r="Z908" s="8"/>
      <c r="AD908" s="8"/>
      <c r="AE908" s="8"/>
      <c r="AF908" s="8"/>
      <c r="AG908" s="8"/>
    </row>
    <row r="909" spans="1:45" x14ac:dyDescent="0.35">
      <c r="N909" s="8"/>
      <c r="O909" s="8"/>
      <c r="P909" s="8"/>
      <c r="Q909" s="8"/>
      <c r="R909" s="8"/>
      <c r="S909" s="8"/>
      <c r="T909" s="8"/>
      <c r="U909" s="8"/>
      <c r="V909" s="8"/>
      <c r="W909" s="8"/>
      <c r="X909" s="8"/>
      <c r="Y909" s="8"/>
      <c r="Z909" s="8"/>
      <c r="AD909" s="8"/>
      <c r="AE909" s="8"/>
      <c r="AF909" s="8"/>
      <c r="AG909" s="8"/>
    </row>
    <row r="910" spans="1:45" x14ac:dyDescent="0.35">
      <c r="N910" s="8"/>
      <c r="O910" s="8"/>
      <c r="P910" s="8"/>
      <c r="Q910" s="8"/>
      <c r="R910" s="8"/>
      <c r="S910" s="8"/>
      <c r="T910" s="8"/>
      <c r="U910" s="8"/>
      <c r="V910" s="8"/>
      <c r="W910" s="8"/>
      <c r="X910" s="8"/>
      <c r="Y910" s="8"/>
      <c r="Z910" s="8"/>
      <c r="AD910" s="8"/>
      <c r="AE910" s="8"/>
      <c r="AF910" s="8"/>
      <c r="AG910" s="8"/>
    </row>
    <row r="911" spans="1:45" x14ac:dyDescent="0.35">
      <c r="N911" s="8"/>
      <c r="O911" s="8"/>
      <c r="P911" s="8"/>
      <c r="Q911" s="8"/>
      <c r="R911" s="8"/>
      <c r="S911" s="8"/>
      <c r="T911" s="8"/>
      <c r="U911" s="8"/>
      <c r="V911" s="8"/>
      <c r="W911" s="8"/>
      <c r="X911" s="8"/>
      <c r="Y911" s="8"/>
      <c r="Z911" s="8"/>
      <c r="AD911" s="8"/>
      <c r="AE911" s="8"/>
      <c r="AF911" s="8"/>
      <c r="AG911" s="8"/>
    </row>
    <row r="912" spans="1:45" x14ac:dyDescent="0.35">
      <c r="N912" s="8"/>
      <c r="O912" s="8"/>
      <c r="P912" s="8"/>
      <c r="Q912" s="8"/>
      <c r="R912" s="8"/>
      <c r="S912" s="8"/>
      <c r="T912" s="8"/>
      <c r="U912" s="8"/>
      <c r="V912" s="8"/>
      <c r="W912" s="8"/>
      <c r="X912" s="8"/>
      <c r="Y912" s="8"/>
      <c r="Z912" s="8"/>
      <c r="AD912" s="8"/>
      <c r="AE912" s="8"/>
      <c r="AF912" s="8"/>
      <c r="AG912" s="8"/>
    </row>
  </sheetData>
  <mergeCells count="7">
    <mergeCell ref="K2:Z2"/>
    <mergeCell ref="Y11:Z11"/>
    <mergeCell ref="Y16:Z16"/>
    <mergeCell ref="I6:P6"/>
    <mergeCell ref="V7:V10"/>
    <mergeCell ref="K10:L10"/>
    <mergeCell ref="N10:O10"/>
  </mergeCells>
  <dataValidations count="13">
    <dataValidation type="decimal" allowBlank="1" showInputMessage="1" showErrorMessage="1" sqref="S52:S54">
      <formula1>#REF!</formula1>
      <formula2>C54</formula2>
    </dataValidation>
    <dataValidation type="decimal" allowBlank="1" showInputMessage="1" showErrorMessage="1" sqref="S26:S36">
      <formula1>#REF!</formula1>
      <formula2>C34</formula2>
    </dataValidation>
    <dataValidation type="decimal" allowBlank="1" showInputMessage="1" showErrorMessage="1" sqref="S37:S46">
      <formula1>#REF!</formula1>
      <formula2>C51</formula2>
    </dataValidation>
    <dataValidation type="decimal" allowBlank="1" showInputMessage="1" showErrorMessage="1" sqref="S47:S51">
      <formula1>#REF!</formula1>
      <formula2>C52</formula2>
    </dataValidation>
    <dataValidation type="list" allowBlank="1" showInputMessage="1" showErrorMessage="1" sqref="N20">
      <formula1>$A$5:$A$7</formula1>
    </dataValidation>
    <dataValidation type="list" allowBlank="1" showInputMessage="1" showErrorMessage="1" sqref="N9">
      <formula1>$B$4:$B$5</formula1>
    </dataValidation>
    <dataValidation type="list" allowBlank="1" showInputMessage="1" showErrorMessage="1" sqref="N13 K13">
      <formula1>$D$4:$D$5</formula1>
    </dataValidation>
    <dataValidation type="list" allowBlank="1" showInputMessage="1" showErrorMessage="1" sqref="K25 N25">
      <formula1>$E$4:$E$7</formula1>
    </dataValidation>
    <dataValidation type="list" allowBlank="1" showInputMessage="1" showErrorMessage="1" sqref="N28:N36 N40:N54">
      <formula1>$C$4:$C$6</formula1>
    </dataValidation>
    <dataValidation type="list" allowBlank="1" showInputMessage="1" showErrorMessage="1" sqref="K14:K15 N14:N15">
      <formula1>$A$4:$A$6</formula1>
    </dataValidation>
    <dataValidation type="list" allowBlank="1" showInputMessage="1" showErrorMessage="1" sqref="K16 N16:N19">
      <formula1>$A$5:$A$7</formula1>
    </dataValidation>
    <dataValidation type="list" allowBlank="1" showInputMessage="1" showErrorMessage="1" sqref="K24 N24">
      <formula1>$E$4:$E$6</formula1>
    </dataValidation>
    <dataValidation type="list" allowBlank="1" showInputMessage="1" showErrorMessage="1" sqref="N23 K23">
      <formula1>$E$7:$E$8</formula1>
    </dataValidation>
  </dataValidations>
  <pageMargins left="0.7" right="0.7" top="0.75" bottom="0.75" header="0.3" footer="0.3"/>
  <pageSetup paperSize="9" orientation="portrait"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(Kretsloppets årsväg)</vt:lpstr>
      <vt:lpstr>1 Gödselvärdesberäknare</vt:lpstr>
      <vt:lpstr>2 Dosering av urea</vt:lpstr>
      <vt:lpstr>3 Tolkning analysdata</vt:lpstr>
      <vt:lpstr>col_mån</vt:lpstr>
      <vt:lpstr>mån</vt:lpstr>
      <vt:lpstr>okt_mars</vt:lpstr>
      <vt:lpstr>Omr_dd</vt:lpstr>
    </vt:vector>
  </TitlesOfParts>
  <Company>SLU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Annika Nordin</dc:creator>
  <cp:lastModifiedBy>Annika Nordin</cp:lastModifiedBy>
  <dcterms:created xsi:type="dcterms:W3CDTF">2025-05-04T08:25:48Z</dcterms:created>
  <dcterms:modified xsi:type="dcterms:W3CDTF">2025-06-14T22:53:48Z</dcterms:modified>
</cp:coreProperties>
</file>